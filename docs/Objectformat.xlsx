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translate\docs\"/>
    </mc:Choice>
  </mc:AlternateContent>
  <xr:revisionPtr revIDLastSave="0" documentId="13_ncr:1_{610537A0-D4B3-4841-9C76-FD1848445A60}" xr6:coauthVersionLast="47" xr6:coauthVersionMax="47" xr10:uidLastSave="{00000000-0000-0000-0000-000000000000}"/>
  <bookViews>
    <workbookView xWindow="24510" yWindow="3105" windowWidth="57600" windowHeight="15345" activeTab="2" xr2:uid="{15AA336A-D685-4105-A88D-4934FBDDFB83}"/>
  </bookViews>
  <sheets>
    <sheet name="Functions" sheetId="2" r:id="rId1"/>
    <sheet name="Objects" sheetId="1" r:id="rId2"/>
    <sheet name="Keywor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B302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9" i="1"/>
  <c r="Y168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56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7" i="1"/>
  <c r="Y258" i="1"/>
  <c r="Y259" i="1"/>
  <c r="Y260" i="1"/>
  <c r="Y269" i="1"/>
  <c r="Y270" i="1"/>
  <c r="Y276" i="1"/>
  <c r="Y261" i="1"/>
  <c r="Y262" i="1"/>
  <c r="Y263" i="1"/>
  <c r="Y264" i="1"/>
  <c r="Y265" i="1"/>
  <c r="Y266" i="1"/>
  <c r="Y267" i="1"/>
  <c r="Y268" i="1"/>
  <c r="Y271" i="1"/>
  <c r="Y272" i="1"/>
  <c r="Y273" i="1"/>
  <c r="Y274" i="1"/>
  <c r="Y275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D2" i="2"/>
  <c r="D3" i="2"/>
  <c r="Y302" i="1" l="1"/>
</calcChain>
</file>

<file path=xl/sharedStrings.xml><?xml version="1.0" encoding="utf-8"?>
<sst xmlns="http://schemas.openxmlformats.org/spreadsheetml/2006/main" count="333" uniqueCount="330">
  <si>
    <t>AGGREGATE</t>
  </si>
  <si>
    <t>APPLICATION ROLE</t>
  </si>
  <si>
    <t>ASSEMBLY</t>
  </si>
  <si>
    <t>ASYMMETRIC KEY</t>
  </si>
  <si>
    <t>AVAILABILITY GROUP</t>
  </si>
  <si>
    <t>BROKER PRIORITY</t>
  </si>
  <si>
    <t>CERTIFICATE</t>
  </si>
  <si>
    <t>COLUMNSTORE INDEX</t>
  </si>
  <si>
    <t>COLUMN ENCRYPTION KEY</t>
  </si>
  <si>
    <t>COLUMN MASTER KEY</t>
  </si>
  <si>
    <t>CONTRACT</t>
  </si>
  <si>
    <t>CREDENTIAL</t>
  </si>
  <si>
    <t>CRYPOTGRAPHIC PROVIDER</t>
  </si>
  <si>
    <t>DATABASE</t>
  </si>
  <si>
    <t>DATABASE AUDIT SPECIFICATION</t>
  </si>
  <si>
    <t>DATABASE ENCRYPTION KEY</t>
  </si>
  <si>
    <t>DATABASE SCOPED CREDENITAL</t>
  </si>
  <si>
    <t>DEFAULT</t>
  </si>
  <si>
    <t>ENDPOINT</t>
  </si>
  <si>
    <t>EVENT NOTIFICATION</t>
  </si>
  <si>
    <t>EVENT SESSION</t>
  </si>
  <si>
    <t>EXTERNAL DATA SOURCE</t>
  </si>
  <si>
    <t>EXTERNAL DATA SOURCE CONNECTION_OPTIONS</t>
  </si>
  <si>
    <t>EXTERNAL LANGUAGE</t>
  </si>
  <si>
    <t>EXTERNAL LIBRARY</t>
  </si>
  <si>
    <t>EXTERNAL FILE FORMAT</t>
  </si>
  <si>
    <t>EXTERNAL RESOURCE POOL</t>
  </si>
  <si>
    <t>EXTERNAL TABLE</t>
  </si>
  <si>
    <t>EXTERNAL TABLE AS SELECT</t>
  </si>
  <si>
    <t>FULLTEXT CATALOG</t>
  </si>
  <si>
    <t>FULLTEXT INDEX</t>
  </si>
  <si>
    <t>FULLTEXT STOPLIST</t>
  </si>
  <si>
    <t>FUNCTION</t>
  </si>
  <si>
    <t>INDEX</t>
  </si>
  <si>
    <t>JSON INDEX</t>
  </si>
  <si>
    <t>LOGIN</t>
  </si>
  <si>
    <t>MASTER KEY</t>
  </si>
  <si>
    <t>MESSAGE TYPE</t>
  </si>
  <si>
    <t>PARTITION FUNCTION</t>
  </si>
  <si>
    <t>PARTITION SCHEMA</t>
  </si>
  <si>
    <t>PROCEDURE</t>
  </si>
  <si>
    <t>QUEUE</t>
  </si>
  <si>
    <t>REMOTE SERVICE BINDING</t>
  </si>
  <si>
    <t>RESOURCE POOL</t>
  </si>
  <si>
    <t>ROLE</t>
  </si>
  <si>
    <t>ROUTE</t>
  </si>
  <si>
    <t>RULE</t>
  </si>
  <si>
    <t>SCHEMA</t>
  </si>
  <si>
    <t>SEARCH PROPERTY LIST</t>
  </si>
  <si>
    <t>SECURITY POLICY</t>
  </si>
  <si>
    <t>SELECTIVE XML INDEX</t>
  </si>
  <si>
    <t>SEQUENCE</t>
  </si>
  <si>
    <t>SERVER AUDIT</t>
  </si>
  <si>
    <t>SERVER AUDIT SPECIFICATION</t>
  </si>
  <si>
    <t>SERVER ROLE</t>
  </si>
  <si>
    <t>SERVICE</t>
  </si>
  <si>
    <t>SPATIAL INDEX</t>
  </si>
  <si>
    <t>STATISTICS</t>
  </si>
  <si>
    <t>SYMMETRIC KEY</t>
  </si>
  <si>
    <t>SYNONYM</t>
  </si>
  <si>
    <t>TABLE</t>
  </si>
  <si>
    <t>TRIGGER</t>
  </si>
  <si>
    <t>TYPE</t>
  </si>
  <si>
    <t>USER</t>
  </si>
  <si>
    <t>VIEW</t>
  </si>
  <si>
    <t>WORKLOAD GROUP</t>
  </si>
  <si>
    <t>XML INDEX</t>
  </si>
  <si>
    <t>XML SCHEMA COLLECTION</t>
  </si>
  <si>
    <t>Object</t>
  </si>
  <si>
    <t>Format</t>
  </si>
  <si>
    <t>SQL SERVER</t>
  </si>
  <si>
    <t>PostgreSQL</t>
  </si>
  <si>
    <t>ACCESS METHOD</t>
  </si>
  <si>
    <t>CAST</t>
  </si>
  <si>
    <t>COLLATION</t>
  </si>
  <si>
    <t>CONVERSION</t>
  </si>
  <si>
    <t>DOMAIN</t>
  </si>
  <si>
    <t>EVENT TRIGGER</t>
  </si>
  <si>
    <t>EXTENSION</t>
  </si>
  <si>
    <t>FOREIGN DATA WRAPPER</t>
  </si>
  <si>
    <t>GROUP</t>
  </si>
  <si>
    <t>LANGUAGE</t>
  </si>
  <si>
    <t>MATERIALIZED VIEW</t>
  </si>
  <si>
    <t>OPERATOR</t>
  </si>
  <si>
    <t>OPERATOR CLASS</t>
  </si>
  <si>
    <t>OPERATOR FAMILY</t>
  </si>
  <si>
    <t>POLICY</t>
  </si>
  <si>
    <t>PUBLICATION</t>
  </si>
  <si>
    <t>SUBSCRIPTION</t>
  </si>
  <si>
    <t>TABLE AS</t>
  </si>
  <si>
    <t>TABLESPACE</t>
  </si>
  <si>
    <t>TEXT SEARCH CONFIGURATION</t>
  </si>
  <si>
    <t>TEXT SEARCH DICTIONARY</t>
  </si>
  <si>
    <t>TEXT SEARCH PARSER</t>
  </si>
  <si>
    <t>TEXT SEARCH TEMPLATE</t>
  </si>
  <si>
    <t>TRANSFORM</t>
  </si>
  <si>
    <t>USER MAPPING</t>
  </si>
  <si>
    <t>Function</t>
  </si>
  <si>
    <t>DuckDB</t>
  </si>
  <si>
    <t>MACRO</t>
  </si>
  <si>
    <t>SERVER</t>
  </si>
  <si>
    <t>SECRET</t>
  </si>
  <si>
    <t>MySql</t>
  </si>
  <si>
    <t>SqlServer</t>
  </si>
  <si>
    <t>EVENT</t>
  </si>
  <si>
    <t>JSON DUALITY VIEW</t>
  </si>
  <si>
    <t>LIBRARY</t>
  </si>
  <si>
    <t>LOG FILE GROUP</t>
  </si>
  <si>
    <t>SPATIAL REFERENCE SYSTEM</t>
  </si>
  <si>
    <t>Snowflake</t>
  </si>
  <si>
    <t>API INTEGRATION</t>
  </si>
  <si>
    <t>APPLICATION</t>
  </si>
  <si>
    <t>APPLICATION PACKAGE</t>
  </si>
  <si>
    <t>AUTHENTICATION POLICY</t>
  </si>
  <si>
    <t>CATALOG INTEGRATION</t>
  </si>
  <si>
    <t>COMPUTE POOL</t>
  </si>
  <si>
    <t>CONNECTION</t>
  </si>
  <si>
    <t>DATABASE ROLE</t>
  </si>
  <si>
    <t>EXTERNAL ACCESS INTEGRATION</t>
  </si>
  <si>
    <t>EXTERNAL VOLUME</t>
  </si>
  <si>
    <t>FAILOVER GROUP</t>
  </si>
  <si>
    <t>FEATURE POLICY</t>
  </si>
  <si>
    <t>NETWORK POLICY</t>
  </si>
  <si>
    <t>NOTIFICATION INTEGRATION</t>
  </si>
  <si>
    <t>ORGANIZATION PROFILE</t>
  </si>
  <si>
    <t>PROVISIONED THROUGHPUT</t>
  </si>
  <si>
    <t>REPLICATION GROUP</t>
  </si>
  <si>
    <t>RESOURCE MONITOR</t>
  </si>
  <si>
    <t>SECURITY INTEGRATION</t>
  </si>
  <si>
    <t>SHARE</t>
  </si>
  <si>
    <t>STORAGE INTEGRATION</t>
  </si>
  <si>
    <t>WAREHOUSE</t>
  </si>
  <si>
    <t>AGGREGATION POLICY</t>
  </si>
  <si>
    <t>ALERT</t>
  </si>
  <si>
    <t>CONTACT</t>
  </si>
  <si>
    <t>CORTEX SEARCH SERVICE</t>
  </si>
  <si>
    <t>DATA METRIC FUNCTION</t>
  </si>
  <si>
    <t>DATASET</t>
  </si>
  <si>
    <t>DBT PROJECT</t>
  </si>
  <si>
    <t>DYNAMIC TABLE</t>
  </si>
  <si>
    <t>EVENT TABLE</t>
  </si>
  <si>
    <t>EXTERNAL FUNCTION</t>
  </si>
  <si>
    <t>FILE FORMAT</t>
  </si>
  <si>
    <t>GIT REPOSITORY</t>
  </si>
  <si>
    <t>HYBRID TABLE</t>
  </si>
  <si>
    <t>ICEBURG TABLE</t>
  </si>
  <si>
    <t>IMAGE REPOSITORY</t>
  </si>
  <si>
    <t>JOIN POLICY</t>
  </si>
  <si>
    <t>LISTING</t>
  </si>
  <si>
    <t>MASKING POLICY</t>
  </si>
  <si>
    <t>MODEL</t>
  </si>
  <si>
    <t>MODEL MONITOR</t>
  </si>
  <si>
    <t>NETWORK RULE</t>
  </si>
  <si>
    <t>NOTEBOOK</t>
  </si>
  <si>
    <t>ORGANIZATION LISTING</t>
  </si>
  <si>
    <t>PACKAGES POLICY</t>
  </si>
  <si>
    <t>PASSWORD POLICY</t>
  </si>
  <si>
    <t>PIPE</t>
  </si>
  <si>
    <t>PRIVACY POLICY</t>
  </si>
  <si>
    <t>PROJECTION POLICY</t>
  </si>
  <si>
    <t>ROW ACCESS POLCIY</t>
  </si>
  <si>
    <t>SEMANTIC VIEW</t>
  </si>
  <si>
    <t>SESSION POLICY</t>
  </si>
  <si>
    <t>SNAPSHOT</t>
  </si>
  <si>
    <t>STAGE</t>
  </si>
  <si>
    <t>STREAM</t>
  </si>
  <si>
    <t>STREAMLIT</t>
  </si>
  <si>
    <t>TAG</t>
  </si>
  <si>
    <t>TASK</t>
  </si>
  <si>
    <t>Db2</t>
  </si>
  <si>
    <t>ALIAS</t>
  </si>
  <si>
    <t>AUDIT POLICY</t>
  </si>
  <si>
    <t>BUFFERPOOL</t>
  </si>
  <si>
    <t>DATABASE PARTITION GROUP</t>
  </si>
  <si>
    <t>EVENT MONITOR</t>
  </si>
  <si>
    <t>FUNCTION MAPPING</t>
  </si>
  <si>
    <t>GLOBAL TEMPORARY TABLE</t>
  </si>
  <si>
    <t>HISTOGRAM TEMPLATE</t>
  </si>
  <si>
    <t>INDEX EXTENSION</t>
  </si>
  <si>
    <t>METHOD</t>
  </si>
  <si>
    <t>MODULE</t>
  </si>
  <si>
    <t>NICKNAME</t>
  </si>
  <si>
    <t>PERMISSION</t>
  </si>
  <si>
    <t>SECURITY LABEL COMPONENT</t>
  </si>
  <si>
    <t>SECURITY LABEL</t>
  </si>
  <si>
    <t>SERVICE CLASS</t>
  </si>
  <si>
    <t>STOGROUP</t>
  </si>
  <si>
    <t>THRESHOLD</t>
  </si>
  <si>
    <t>TRUSTED CONTEXT</t>
  </si>
  <si>
    <t>USAGE LIST</t>
  </si>
  <si>
    <t>VARIABLE</t>
  </si>
  <si>
    <t>WORK ACTION SET</t>
  </si>
  <si>
    <t>WORK CLASS SET</t>
  </si>
  <si>
    <t>WORKLOAD</t>
  </si>
  <si>
    <t>WRAPPER</t>
  </si>
  <si>
    <t>SQLite</t>
  </si>
  <si>
    <t>VIRTUAL TABLE</t>
  </si>
  <si>
    <t>Databricks</t>
  </si>
  <si>
    <t>MariaDB</t>
  </si>
  <si>
    <t>Hive</t>
  </si>
  <si>
    <t>BigQuery</t>
  </si>
  <si>
    <t>Teradata</t>
  </si>
  <si>
    <t>Hana</t>
  </si>
  <si>
    <t>ClickHouse</t>
  </si>
  <si>
    <t>Redshift</t>
  </si>
  <si>
    <t>Synapse Analytics</t>
  </si>
  <si>
    <t>Impala</t>
  </si>
  <si>
    <t>Flink</t>
  </si>
  <si>
    <t>Vertica</t>
  </si>
  <si>
    <t>Greenplum</t>
  </si>
  <si>
    <t>Netezza</t>
  </si>
  <si>
    <t>Presto</t>
  </si>
  <si>
    <t>Oracle</t>
  </si>
  <si>
    <t>TABLE LIKE</t>
  </si>
  <si>
    <t>TABLE COPY</t>
  </si>
  <si>
    <t>SNAPSHOT TABLE</t>
  </si>
  <si>
    <t>EXTERNAL SCHEMA</t>
  </si>
  <si>
    <t>AGGREGATE FUNCTION</t>
  </si>
  <si>
    <t>TABLE FUNCTION</t>
  </si>
  <si>
    <t>CAPACITY</t>
  </si>
  <si>
    <t>RESERVATION</t>
  </si>
  <si>
    <t>ASSIGNMENT</t>
  </si>
  <si>
    <t>SEARCH INDEX</t>
  </si>
  <si>
    <t>VECTOR INDEX</t>
  </si>
  <si>
    <t>DICTIONARY</t>
  </si>
  <si>
    <t>ROW POLICY</t>
  </si>
  <si>
    <t>QUOTA</t>
  </si>
  <si>
    <t>SETTINGS PROFILE</t>
  </si>
  <si>
    <t>NAMED COLLECTION</t>
  </si>
  <si>
    <t>BLOOMFILTER INDEX</t>
  </si>
  <si>
    <t>CATALOG</t>
  </si>
  <si>
    <t>LOCATION</t>
  </si>
  <si>
    <t>RECIPIENT</t>
  </si>
  <si>
    <t>STREAMING TABLE</t>
  </si>
  <si>
    <t>VOLUME</t>
  </si>
  <si>
    <t>FOREIGN TABLE</t>
  </si>
  <si>
    <t>PROTOCOL</t>
  </si>
  <si>
    <t>RESOURCE GROUP</t>
  </si>
  <si>
    <t>RESOURCE QUEUE</t>
  </si>
  <si>
    <t>CLIENTSIDE ENCRYPTION COLUMN KEY</t>
  </si>
  <si>
    <t>CLIENTSIDE ENCRYPTION COLUMN KEYPAIR</t>
  </si>
  <si>
    <t>FUZZY SEARCH INDEX</t>
  </si>
  <si>
    <t>GRAPH WORKSPACE</t>
  </si>
  <si>
    <t>JWT PROVIDER</t>
  </si>
  <si>
    <t>LDAP PROVIDER</t>
  </si>
  <si>
    <t>PROJECTION VIEW</t>
  </si>
  <si>
    <t>PSE</t>
  </si>
  <si>
    <t>PUBLIC KEY</t>
  </si>
  <si>
    <t>REMOTE SOURCE</t>
  </si>
  <si>
    <t>SAML PROVIDER</t>
  </si>
  <si>
    <t>SCHEDULER JOB</t>
  </si>
  <si>
    <t>SCHEMA SYNONYM</t>
  </si>
  <si>
    <t>STRUCTURED PRIVILEGE</t>
  </si>
  <si>
    <t>USERGROUP</t>
  </si>
  <si>
    <t>VIRTUAL FUNCTION</t>
  </si>
  <si>
    <t>VIRTUAL PROCEDURE</t>
  </si>
  <si>
    <t>X509 PROVIDER</t>
  </si>
  <si>
    <t>CONNECTOR</t>
  </si>
  <si>
    <t>PACKAGE BODY</t>
  </si>
  <si>
    <t>PACKAGE</t>
  </si>
  <si>
    <t>ANALYTICE VIEW</t>
  </si>
  <si>
    <t>ATTRIBUTE DIMENSION</t>
  </si>
  <si>
    <t>CLUSTER</t>
  </si>
  <si>
    <t>CONTEXT</t>
  </si>
  <si>
    <t>CONTROL FILE</t>
  </si>
  <si>
    <t>DATABASE LINK</t>
  </si>
  <si>
    <t>DIMENSION</t>
  </si>
  <si>
    <t>DIRECTORY</t>
  </si>
  <si>
    <t>DISKGROUP</t>
  </si>
  <si>
    <t>EDITION</t>
  </si>
  <si>
    <t>FLASHBACK ARCHIVE</t>
  </si>
  <si>
    <t>HIERARCHY</t>
  </si>
  <si>
    <t>INDEXTYPE</t>
  </si>
  <si>
    <t>INMEMORY JOIN GROUP</t>
  </si>
  <si>
    <t>JAVA</t>
  </si>
  <si>
    <t>LOCKDOWN PROFILE</t>
  </si>
  <si>
    <t>MATERIALIZED ZONEMAP</t>
  </si>
  <si>
    <t>MATERIALIZED VIEW LOG</t>
  </si>
  <si>
    <t>OUTLINE</t>
  </si>
  <si>
    <t>PFILE</t>
  </si>
  <si>
    <t>PLUGGABLE DATABASE</t>
  </si>
  <si>
    <t>PROFILE</t>
  </si>
  <si>
    <t>RESTORE POINT</t>
  </si>
  <si>
    <t>ROLLBACK SEGMENT</t>
  </si>
  <si>
    <t>SPFILE</t>
  </si>
  <si>
    <t>TABLESPACE SET</t>
  </si>
  <si>
    <t>TYPE BODY</t>
  </si>
  <si>
    <t>DATASHARE</t>
  </si>
  <si>
    <t>EXTERNAL MODEL</t>
  </si>
  <si>
    <t>EXTERNAL VIEW</t>
  </si>
  <si>
    <t>IDENTITY PROVIDER</t>
  </si>
  <si>
    <t>RLSE POLICY</t>
  </si>
  <si>
    <t>AUTHORIZATION</t>
  </si>
  <si>
    <t>COMPUTE GROUP</t>
  </si>
  <si>
    <t>CONSTRAINT</t>
  </si>
  <si>
    <t>DATALAKE</t>
  </si>
  <si>
    <t>ERROR TABLE</t>
  </si>
  <si>
    <t>GLOBAL TEMPORARY TRACE TABLE</t>
  </si>
  <si>
    <t>GLOP SET</t>
  </si>
  <si>
    <t>JOIN INDEX</t>
  </si>
  <si>
    <t>MAP</t>
  </si>
  <si>
    <t>RECURSIVE VIEW</t>
  </si>
  <si>
    <t>ACCESS POLICY</t>
  </si>
  <si>
    <t>AUTHENTICATION</t>
  </si>
  <si>
    <t>CA BUNDLE</t>
  </si>
  <si>
    <t>DATA LOADER</t>
  </si>
  <si>
    <t>DIRECTED QUERY</t>
  </si>
  <si>
    <t>EXTERNAL TABLE AS COPY</t>
  </si>
  <si>
    <t>EXTERNAL TABLE ICEBERG</t>
  </si>
  <si>
    <t>FAULT GROUP</t>
  </si>
  <si>
    <t>FLEXIBLE EXTERNAL TABLE AS COPY</t>
  </si>
  <si>
    <t>FLEXIBLE TABLE</t>
  </si>
  <si>
    <t>HCATALOG</t>
  </si>
  <si>
    <t>KEY</t>
  </si>
  <si>
    <t>LOAD BALANCE GROUP</t>
  </si>
  <si>
    <t>LOCAL TEMPORARY VIEW</t>
  </si>
  <si>
    <t>NETWORK ADDRESS</t>
  </si>
  <si>
    <t>NETWORK INTERFACE</t>
  </si>
  <si>
    <t>NOTIFIER</t>
  </si>
  <si>
    <t>PROJECTION</t>
  </si>
  <si>
    <t>ROUTING RULE</t>
  </si>
  <si>
    <t>SCHEDULE</t>
  </si>
  <si>
    <t>SUBNET</t>
  </si>
  <si>
    <t>TEMPORARY TABLE</t>
  </si>
  <si>
    <t>TEXT INDEX</t>
  </si>
  <si>
    <t>TLS CONFIGURATION</t>
  </si>
  <si>
    <t>Total</t>
  </si>
  <si>
    <t>Lexor</t>
  </si>
  <si>
    <t>ACCOUNT</t>
  </si>
  <si>
    <t>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</si>
</sst>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97"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font>
        <color theme="0"/>
      </font>
      <fill>
        <patternFill patternType="solid">
          <bgColor rgb="FF107C10"/>
        </patternFill>
      </fill>
    </dxf>
    <dxf>
      <font>
        <color theme="0"/>
      </font>
      <fill>
        <patternFill>
          <bgColor rgb="FFA8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A80000"/>
      <color rgb="FF107C10"/>
      <color rgb="FF7C10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05E485-312C-4818-A460-90330443CCE7}" name="Table13" displayName="Table13" ref="A1:D3" totalsRowShown="0">
  <autoFilter ref="A1:D3" xr:uid="{219C0109-DE42-4FA7-8018-C7B07AC78F36}"/>
  <tableColumns count="4">
    <tableColumn id="1" xr3:uid="{AFD62F19-071B-414F-9BA6-286D8A000FD6}" name="Function"/>
    <tableColumn id="2" xr3:uid="{C8BEEC95-2833-4759-9430-D549872B8307}" name="SQL SERVER" dataDxfId="96"/>
    <tableColumn id="4" xr3:uid="{623C1F26-47BF-428D-822D-BFA29D0F72D7}" name="PostgreSQL" dataDxfId="95"/>
    <tableColumn id="3" xr3:uid="{5600C3F8-9AEB-42CB-BE8A-89D739655660}" name="Format" dataDxfId="94">
      <calculatedColumnFormula>"| " &amp;Table13[[#This Row],[Function]] &amp; " | "&amp; IF(Table13[[#This Row],[SQL SERVER]], "Y", "N") &amp;" | "&amp; IF(Table13[[#This Row],[PostgreSQL]], "Y", "N") &amp;" |"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9C0109-DE42-4FA7-8018-C7B07AC78F36}" name="Table1" displayName="Table1" ref="A1:Y302" totalsRowCount="1">
  <autoFilter ref="A1:Y301" xr:uid="{219C0109-DE42-4FA7-8018-C7B07AC78F36}"/>
  <sortState xmlns:xlrd2="http://schemas.microsoft.com/office/spreadsheetml/2017/richdata2" ref="A2:Y301">
    <sortCondition ref="A1:A301"/>
  </sortState>
  <tableColumns count="25">
    <tableColumn id="1" xr3:uid="{B60C25BD-A4F8-4014-B5A7-DA4449297FE4}" name="Object" totalsRowLabel="Total"/>
    <tableColumn id="17" xr3:uid="{A8079E41-4D48-4223-9829-198FB27C1AED}" name="BigQuery" totalsRowFunction="custom">
      <totalsRowFormula>COUNTIF(Table1[BigQuery], TRUE)</totalsRowFormula>
    </tableColumn>
    <tableColumn id="19" xr3:uid="{77DB9B25-943B-4761-BE1F-2430D02B3BFE}" name="ClickHouse" totalsRowFunction="custom">
      <totalsRowFormula>COUNTIF(Table1[ClickHouse], TRUE)</totalsRowFormula>
    </tableColumn>
    <tableColumn id="13" xr3:uid="{42398E7B-BFB3-4EAF-9D20-57D40EC7B90A}" name="Databricks" totalsRowFunction="custom">
      <totalsRowFormula>COUNTIF(Table1[Databricks], TRUE)</totalsRowFormula>
    </tableColumn>
    <tableColumn id="11" xr3:uid="{E153631D-3313-4783-B55A-DDA1344C74C4}" name="Db2" totalsRowFunction="custom">
      <totalsRowFormula>COUNTIF(Table1[Db2], TRUE)</totalsRowFormula>
    </tableColumn>
    <tableColumn id="7" xr3:uid="{8ECCE6BA-C6DD-4B83-9644-BD28CF1B4D70}" name="DuckDB" totalsRowFunction="custom">
      <totalsRowFormula>COUNTIF(Table1[DuckDB], TRUE)</totalsRowFormula>
    </tableColumn>
    <tableColumn id="23" xr3:uid="{02156C68-A4FC-42F6-A11B-6927A9359252}" name="Flink" totalsRowFunction="custom">
      <totalsRowFormula>COUNTIF(Table1[Flink], TRUE)</totalsRowFormula>
    </tableColumn>
    <tableColumn id="28" xr3:uid="{04FF9AE2-2C47-4933-AD87-12EE32561CD2}" name="Greenplum" totalsRowFunction="custom">
      <totalsRowFormula>COUNTIF(Table1[Greenplum], TRUE)</totalsRowFormula>
    </tableColumn>
    <tableColumn id="18" xr3:uid="{7EF347CC-CA2D-485E-808C-9CEA08A61C0F}" name="Hana" totalsRowFunction="custom">
      <totalsRowFormula>COUNTIF(Table1[Hana], TRUE)</totalsRowFormula>
    </tableColumn>
    <tableColumn id="16" xr3:uid="{DB5C0548-1014-45BC-9C0C-F927FA75A6F2}" name="Hive" totalsRowFunction="custom">
      <totalsRowFormula>COUNTIF(Table1[Hive], TRUE)</totalsRowFormula>
    </tableColumn>
    <tableColumn id="22" xr3:uid="{66472620-9EB4-4ECC-AF35-E7204496D119}" name="Impala" totalsRowFunction="custom">
      <totalsRowFormula>COUNTIF(Table1[Impala], TRUE)</totalsRowFormula>
    </tableColumn>
    <tableColumn id="15" xr3:uid="{3EC9D176-AF7C-4142-AF48-D658958B7149}" name="MariaDB" totalsRowFunction="custom">
      <totalsRowFormula>COUNTIF(Table1[MariaDB], TRUE)</totalsRowFormula>
    </tableColumn>
    <tableColumn id="9" xr3:uid="{3CDFF2DC-6EC7-4B02-AF6B-8A23C1F5C869}" name="MySql" totalsRowFunction="custom">
      <totalsRowFormula>COUNTIF(Table1[MySql], TRUE)</totalsRowFormula>
    </tableColumn>
    <tableColumn id="29" xr3:uid="{ACE7A62B-D946-42E3-9FD3-395C2321904B}" name="Netezza" totalsRowFunction="custom">
      <totalsRowFormula>COUNTIF(Table1[Netezza], TRUE)</totalsRowFormula>
    </tableColumn>
    <tableColumn id="31" xr3:uid="{ACD7DDA1-734B-46FC-A652-2BF5428164DC}" name="Oracle" totalsRowFunction="custom">
      <totalsRowFormula>COUNTIF(Table1[Oracle], TRUE)</totalsRowFormula>
    </tableColumn>
    <tableColumn id="14" xr3:uid="{12453A4A-4531-424C-95FD-79AE6149148F}" name="PostgreSQL" totalsRowFunction="custom" dataDxfId="93">
      <totalsRowFormula>COUNTIF(Table1[PostgreSQL], TRUE)</totalsRowFormula>
    </tableColumn>
    <tableColumn id="30" xr3:uid="{B73E8726-6B15-4A88-ACF1-FF7335392B59}" name="Presto" totalsRowFunction="custom" dataDxfId="92">
      <totalsRowFormula>COUNTIF(Table1[Presto], TRUE)</totalsRowFormula>
    </tableColumn>
    <tableColumn id="20" xr3:uid="{F12D23CE-6B62-4383-AF02-9C55A0CB6B75}" name="Redshift" totalsRowFunction="custom" dataDxfId="91">
      <totalsRowFormula>COUNTIF(Table1[Redshift], TRUE)</totalsRowFormula>
    </tableColumn>
    <tableColumn id="10" xr3:uid="{4D85EECD-53BC-4DD2-B724-2A7F8C7BC65E}" name="Snowflake" totalsRowFunction="custom">
      <totalsRowFormula>COUNTIF(Table1[Snowflake], TRUE)</totalsRowFormula>
    </tableColumn>
    <tableColumn id="12" xr3:uid="{3FD298E2-85A2-4473-9E04-606CBA51EC80}" name="SQLite" totalsRowFunction="custom">
      <totalsRowFormula>COUNTIF(Table1[SQLite], TRUE)</totalsRowFormula>
    </tableColumn>
    <tableColumn id="2" xr3:uid="{FABAB82F-95A4-4847-B710-52688CA051A7}" name="SqlServer" totalsRowFunction="custom" dataDxfId="90">
      <totalsRowFormula>COUNTIF(Table1[SqlServer], TRUE)</totalsRowFormula>
    </tableColumn>
    <tableColumn id="21" xr3:uid="{98B2F9E6-5C35-430E-8F94-D125F62DCDB7}" name="Synapse Analytics" totalsRowFunction="custom" dataDxfId="89">
      <totalsRowFormula>COUNTIF(Table1[Synapse Analytics], TRUE)</totalsRowFormula>
    </tableColumn>
    <tableColumn id="4" xr3:uid="{F7B1F276-210C-4210-A547-4A0BC37C3F9A}" name="Teradata" totalsRowFunction="custom" dataDxfId="88">
      <totalsRowFormula>COUNTIF(Table1[Teradata], TRUE)</totalsRowFormula>
    </tableColumn>
    <tableColumn id="24" xr3:uid="{C27E4BEB-2AB2-469C-90B2-D5C76EC60B94}" name="Vertica" totalsRowFunction="custom">
      <totalsRowFormula>COUNTIF(Table1[Vertica], TRUE)</totalsRowFormula>
    </tableColumn>
    <tableColumn id="3" xr3:uid="{29B29DF8-4E10-4D67-AD41-8422A0967167}" name="Format" totalsRowFunction="count" dataDxfId="87">
      <calculatedColumnFormula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B666D-F140-4714-8059-03985377C409}" name="Table3" displayName="Table3" ref="A1:B2" totalsRowShown="0">
  <autoFilter ref="A1:B2" xr:uid="{DC1B666D-F140-4714-8059-03985377C409}"/>
  <sortState xmlns:xlrd2="http://schemas.microsoft.com/office/spreadsheetml/2017/richdata2" ref="A2:B275">
    <sortCondition ref="A262:A275"/>
  </sortState>
  <tableColumns count="2">
    <tableColumn id="1" xr3:uid="{071EBA71-6222-4CD8-9B5B-3C606DFEC073}" name="ACCOUNT"/>
    <tableColumn id="2" xr3:uid="{44588D4E-AE6B-4086-874B-63D1ECAAE40F}" name="Lexor" dataDxfId="86">
      <calculatedColumnFormula>UPPER(Table3[[#This Row],[ACCOUNT]]) &amp; " : '"&amp; UPPER(Table3[[#This Row],[ACCOUNT]]) &amp;"' ;"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33EA-EA0B-48E1-97CC-33BC9B47F960}">
  <dimension ref="A1:D3"/>
  <sheetViews>
    <sheetView workbookViewId="0">
      <selection activeCell="D2" sqref="D2"/>
    </sheetView>
  </sheetViews>
  <sheetFormatPr defaultRowHeight="14.25"/>
  <cols>
    <col min="1" max="1" width="47.25" bestFit="1" customWidth="1"/>
    <col min="2" max="2" width="11.25" bestFit="1" customWidth="1"/>
    <col min="3" max="3" width="11.25" customWidth="1"/>
    <col min="4" max="4" width="54.375" bestFit="1" customWidth="1"/>
  </cols>
  <sheetData>
    <row r="1" spans="1:4">
      <c r="A1" t="s">
        <v>97</v>
      </c>
      <c r="B1" t="s">
        <v>70</v>
      </c>
      <c r="C1" t="s">
        <v>71</v>
      </c>
      <c r="D1" t="s">
        <v>69</v>
      </c>
    </row>
    <row r="2" spans="1:4">
      <c r="B2" t="b">
        <v>0</v>
      </c>
      <c r="C2" t="b">
        <v>0</v>
      </c>
      <c r="D2" t="str">
        <f>"| " &amp;Table13[[#This Row],[Function]] &amp; " | "&amp; IF(Table13[[#This Row],[SQL SERVER]], "Y", "N") &amp;" | "&amp; IF(Table13[[#This Row],[PostgreSQL]], "Y", "N") &amp;" |"</f>
        <v>|  | N | N |</v>
      </c>
    </row>
    <row r="3" spans="1:4">
      <c r="B3" t="b">
        <v>0</v>
      </c>
      <c r="C3" t="b">
        <v>0</v>
      </c>
      <c r="D3" t="str">
        <f>"| " &amp;Table13[[#This Row],[Function]] &amp; " | "&amp; IF(Table13[[#This Row],[SQL SERVER]], "Y", "N") &amp;" | "&amp; IF(Table13[[#This Row],[PostgreSQL]], "Y", "N") &amp;" |"</f>
        <v>|  | N | N |</v>
      </c>
    </row>
  </sheetData>
  <conditionalFormatting sqref="B2:C3">
    <cfRule type="cellIs" dxfId="85" priority="1" operator="equal">
      <formula>FALSE</formula>
    </cfRule>
    <cfRule type="cellIs" dxfId="84" priority="2" operator="equal">
      <formula>TRUE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CC31-D768-47DF-B825-5CE58A9D2F83}">
  <dimension ref="A1:Y302"/>
  <sheetViews>
    <sheetView topLeftCell="A264" workbookViewId="0">
      <selection activeCell="J311" sqref="J311"/>
    </sheetView>
  </sheetViews>
  <sheetFormatPr defaultRowHeight="14.25"/>
  <cols>
    <col min="1" max="1" width="47.25" bestFit="1" customWidth="1"/>
    <col min="2" max="24" width="13.875" customWidth="1"/>
    <col min="25" max="25" width="54.375" bestFit="1" customWidth="1"/>
  </cols>
  <sheetData>
    <row r="1" spans="1:25">
      <c r="A1" t="s">
        <v>68</v>
      </c>
      <c r="B1" t="s">
        <v>200</v>
      </c>
      <c r="C1" t="s">
        <v>203</v>
      </c>
      <c r="D1" t="s">
        <v>197</v>
      </c>
      <c r="E1" s="1" t="s">
        <v>169</v>
      </c>
      <c r="F1" s="1" t="s">
        <v>98</v>
      </c>
      <c r="G1" s="1" t="s">
        <v>207</v>
      </c>
      <c r="H1" s="1" t="s">
        <v>209</v>
      </c>
      <c r="I1" s="1" t="s">
        <v>202</v>
      </c>
      <c r="J1" s="1" t="s">
        <v>199</v>
      </c>
      <c r="K1" s="1" t="s">
        <v>206</v>
      </c>
      <c r="L1" s="1" t="s">
        <v>198</v>
      </c>
      <c r="M1" s="1" t="s">
        <v>102</v>
      </c>
      <c r="N1" s="1" t="s">
        <v>210</v>
      </c>
      <c r="O1" s="1" t="s">
        <v>212</v>
      </c>
      <c r="P1" s="1" t="s">
        <v>71</v>
      </c>
      <c r="Q1" s="1" t="s">
        <v>211</v>
      </c>
      <c r="R1" s="1" t="s">
        <v>204</v>
      </c>
      <c r="S1" s="1" t="s">
        <v>109</v>
      </c>
      <c r="T1" s="1" t="s">
        <v>195</v>
      </c>
      <c r="U1" s="1" t="s">
        <v>103</v>
      </c>
      <c r="V1" s="1" t="s">
        <v>205</v>
      </c>
      <c r="W1" t="s">
        <v>201</v>
      </c>
      <c r="X1" t="s">
        <v>208</v>
      </c>
      <c r="Y1" t="s">
        <v>69</v>
      </c>
    </row>
    <row r="2" spans="1:25">
      <c r="A2" t="s">
        <v>72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ACCESS METHOD | N | N | N | N | N | N | Y | N | N | N | N | N | N | N | Y | N | N | N | N | N | N | N | N |</v>
      </c>
    </row>
    <row r="3" spans="1:25">
      <c r="A3" t="s">
        <v>302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ACCESS POLICY | N | N | N | N | N | N | N | N | N | N | N | N | N | N | N | N | N | N | N | N | N | N | Y |</v>
      </c>
    </row>
    <row r="4" spans="1:25">
      <c r="A4" t="s">
        <v>0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AGGREGATE | N | N | N | N | N | N | Y | N | N | N | N | N | N | N | Y | N | N | N | N | Y | N | N | N |</v>
      </c>
    </row>
    <row r="5" spans="1:25">
      <c r="A5" t="s">
        <v>217</v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AGGREGATE FUNCTION | Y | N | N | N | N | N | N | N | N | N | N | N | N | N | N | N | N | N | N | N | N | N | N |</v>
      </c>
    </row>
    <row r="6" spans="1:25">
      <c r="A6" t="s">
        <v>132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AGGREGATION POLICY | N | N | N | N | N | N | N | N | N | N | N | N | N | N | N | N | N | Y | N | N | N | N | N |</v>
      </c>
    </row>
    <row r="7" spans="1:25">
      <c r="A7" t="s">
        <v>133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ALERT | N | N | N | N | N | N | N | N | N | N | N | N | N | N | N | N | N | Y | N | N | N | N | N |</v>
      </c>
    </row>
    <row r="8" spans="1:25">
      <c r="A8" t="s">
        <v>170</v>
      </c>
      <c r="B8" t="b">
        <v>0</v>
      </c>
      <c r="C8" t="b">
        <v>0</v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ALIAS | N | N | N | Y | N | N | N | N | N | N | N | N | N | N | N | N | N | N | N | N | N | N | N |</v>
      </c>
    </row>
    <row r="9" spans="1:25">
      <c r="A9" t="s">
        <v>260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ANALYTICE VIEW | N | N | N | N | N | N | N | N | N | N | N | N | N | Y | N | N | N | N | N | N | N | N | N |</v>
      </c>
    </row>
    <row r="10" spans="1:25">
      <c r="A10" t="s">
        <v>110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API INTEGRATION | N | N | N | N | N | N | N | N | N | N | N | N | N | N | N | N | N | Y | N | N | N | N | N |</v>
      </c>
    </row>
    <row r="11" spans="1:25">
      <c r="A11" t="s">
        <v>111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APPLICATION | N | N | N | N | N | N | N | N | N | N | N | N | N | N | N | N | N | Y | N | N | N | N | N |</v>
      </c>
    </row>
    <row r="12" spans="1:25">
      <c r="A12" t="s">
        <v>112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APPLICATION PACKAGE | N | N | N | N | N | N | N | N | N | N | N | N | N | N | N | N | N | Y | N | N | N | N | N |</v>
      </c>
    </row>
    <row r="13" spans="1:25">
      <c r="A13" t="s">
        <v>1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APPLICATION ROLE | N | N | N | N | N | N | N | N | N | N | N | N | N | N | N | N | N | N | N | Y | N | N | N |</v>
      </c>
    </row>
    <row r="14" spans="1:25">
      <c r="A14" t="s">
        <v>2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ASSEMBLY | N | N | N | N | N | N | N | N | N | N | N | N | N | N | N | N | N | N | N | Y | N | N | N |</v>
      </c>
    </row>
    <row r="15" spans="1:25">
      <c r="A15" t="s">
        <v>221</v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ASSIGNMENT | Y | N | N | N | N | N | N | N | N | N | N | N | N | N | N | N | N | N | N | N | N | N | N |</v>
      </c>
    </row>
    <row r="16" spans="1:25">
      <c r="A16" t="s">
        <v>3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ASYMMETRIC KEY | N | N | N | N | N | N | N | N | N | N | N | N | N | N | N | N | N | N | N | Y | N | N | N |</v>
      </c>
    </row>
    <row r="17" spans="1:25">
      <c r="A17" t="s">
        <v>261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ATTRIBUTE DIMENSION | N | N | N | N | N | N | N | N | N | N | N | N | N | Y | N | N | N | N | N | N | N | N | N |</v>
      </c>
    </row>
    <row r="18" spans="1:25">
      <c r="A18" t="s">
        <v>171</v>
      </c>
      <c r="B18" t="b">
        <v>0</v>
      </c>
      <c r="C18" t="b">
        <v>0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AUDIT POLICY | N | N | N | Y | N | N | N | Y | N | N | N | N | N | Y | N | N | N | N | N | N | N | N | N |</v>
      </c>
    </row>
    <row r="19" spans="1:25">
      <c r="A19" t="s">
        <v>303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AUTHENTICATION | N | N | N | N | N | N | N | N | N | N | N | N | N | N | N | N | N | N | N | N | N | N | Y |</v>
      </c>
    </row>
    <row r="20" spans="1:25">
      <c r="A20" t="s">
        <v>113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AUTHENTICATION POLICY | N | N | N | N | N | N | N | N | N | N | N | N | N | N | N | N | N | Y | N | N | N | N | N |</v>
      </c>
    </row>
    <row r="21" spans="1:25">
      <c r="A21" t="s">
        <v>292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  <c r="Y2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AUTHORIZATION | N | N | N | N | N | N | N | N | N | N | N | N | N | N | N | N | N | N | N | N | N | Y | N |</v>
      </c>
    </row>
    <row r="22" spans="1:25">
      <c r="A22" t="s">
        <v>4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AVAILABILITY GROUP | N | N | N | N | N | N | N | N | N | N | N | N | N | N | N | N | N | N | N | Y | N | N | N |</v>
      </c>
    </row>
    <row r="23" spans="1:25">
      <c r="A23" t="s">
        <v>229</v>
      </c>
      <c r="B23" t="b">
        <v>0</v>
      </c>
      <c r="C23" t="b">
        <v>0</v>
      </c>
      <c r="D23" t="b">
        <v>1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BLOOMFILTER INDEX | N | N | Y | N | N | N | N | N | N | N | N | N | N | N | N | N | N | N | N | N | N | N | N |</v>
      </c>
    </row>
    <row r="24" spans="1:25">
      <c r="A24" t="s">
        <v>5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BROKER PRIORITY | N | N | N | N | N | N | N | N | N | N | N | N | N | N | N | N | N | N | N | Y | N | N | N |</v>
      </c>
    </row>
    <row r="25" spans="1:25">
      <c r="A25" t="s">
        <v>172</v>
      </c>
      <c r="B25" t="b">
        <v>0</v>
      </c>
      <c r="C25" t="b">
        <v>0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BUFFERPOOL | N | N | N | Y | N | N | N | N | N | N | N | N | N | N | N | N | N | N | N | N | N | N | N |</v>
      </c>
    </row>
    <row r="26" spans="1:25">
      <c r="A26" t="s">
        <v>304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CA BUNDLE | N | N | N | N | N | N | N | N | N | N | N | N | N | N | N | N | N | N | N | N | N | N | Y |</v>
      </c>
    </row>
    <row r="27" spans="1:25">
      <c r="A27" t="s">
        <v>219</v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CAPACITY | Y | N | N | N | N | N | N | N | N | N | N | N | N | N | N | N | N | N | N | N | N | N | N |</v>
      </c>
    </row>
    <row r="28" spans="1:25">
      <c r="A28" t="s">
        <v>73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CAST | N | N | N | N | N | N | Y | N | N | N | N | N | N | N | Y | N | N | N | N | N | N | N | N |</v>
      </c>
    </row>
    <row r="29" spans="1:25">
      <c r="A29" t="s">
        <v>230</v>
      </c>
      <c r="B29" t="b">
        <v>0</v>
      </c>
      <c r="C29" t="b">
        <v>0</v>
      </c>
      <c r="D29" t="b">
        <v>1</v>
      </c>
      <c r="E29" t="b">
        <v>0</v>
      </c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CATALOG | N | N | Y | N | N | Y | N | N | N | N | N | N | N | N | N | N | N | N | N | N | N | N | N |</v>
      </c>
    </row>
    <row r="30" spans="1:25">
      <c r="A30" t="s">
        <v>114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CATALOG INTEGRATION | N | N | N | N | N | N | N | N | N | N | N | N | N | N | N | N | N | Y | N | N | N | N | N |</v>
      </c>
    </row>
    <row r="31" spans="1:25">
      <c r="A31" t="s">
        <v>6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1</v>
      </c>
      <c r="Y3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CERTIFICATE | N | N | N | N | N | N | N | Y | N | N | N | N | N | N | N | N | N | N | N | Y | N | N | Y |</v>
      </c>
    </row>
    <row r="32" spans="1:25">
      <c r="A32" t="s">
        <v>239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CLIENTSIDE ENCRYPTION COLUMN KEY | N | N | N | N | N | N | N | Y | N | N | N | N | N | N | N | N | N | N | N | N | N | N | N |</v>
      </c>
    </row>
    <row r="33" spans="1:25">
      <c r="A33" t="s">
        <v>240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CLIENTSIDE ENCRYPTION COLUMN KEYPAIR | N | N | N | N | N | N | N | Y | N | N | N | N | N | N | N | N | N | N | N | N | N | N | N |</v>
      </c>
    </row>
    <row r="34" spans="1:25">
      <c r="A34" t="s">
        <v>262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CLUSTER | N | N | N | N | N | N | N | N | N | N | N | N | N | Y | N | N | N | N | N | N | N | N | N |</v>
      </c>
    </row>
    <row r="35" spans="1:25">
      <c r="A35" t="s">
        <v>74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COLLATION | N | N | N | N | N | N | Y | N | N | N | N | N | N | N | Y | N | N | N | N | N | N | N | N |</v>
      </c>
    </row>
    <row r="36" spans="1:25">
      <c r="A36" t="s">
        <v>8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COLUMN ENCRYPTION KEY | N | N | N | N | N | N | N | N | N | N | N | N | N | N | N | N | N | N | N | Y | N | N | N |</v>
      </c>
    </row>
    <row r="37" spans="1:25">
      <c r="A37" t="s">
        <v>9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COLUMN MASTER KEY | N | N | N | N | N | N | N | N | N | N | N | N | N | N | N | N | N | N | N | Y | N | N | N |</v>
      </c>
    </row>
    <row r="38" spans="1:25">
      <c r="A38" t="s">
        <v>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COLUMNSTORE INDEX | N | N | N | N | N | N | N | N | N | N | N | N | N | N | N | N | N | N | N | Y | N | N | N |</v>
      </c>
    </row>
    <row r="39" spans="1:25">
      <c r="A39" t="s">
        <v>293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COMPUTE GROUP | N | N | N | N | N | N | N | N | N | N | N | N | N | N | N | N | N | N | N | N | N | Y | N |</v>
      </c>
    </row>
    <row r="40" spans="1:25">
      <c r="A40" t="s">
        <v>115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COMPUTE POOL | N | N | N | N | N | N | N | N | N | N | N | N | N | N | N | N | N | Y | N | N | N | N | N |</v>
      </c>
    </row>
    <row r="41" spans="1:25">
      <c r="A41" t="s">
        <v>116</v>
      </c>
      <c r="B41" t="b">
        <v>0</v>
      </c>
      <c r="C41" t="b">
        <v>0</v>
      </c>
      <c r="D41" t="b">
        <v>1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CONNECTION | N | N | Y | N | N | N | N | N | N | N | N | N | N | N | N | N | N | Y | N | N | N | N | N |</v>
      </c>
    </row>
    <row r="42" spans="1:25">
      <c r="A42" t="s">
        <v>257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CONNECTOR | N | N | N | N | N | N | N | N | Y | N | N | N | N | N | N | N | N | N | N | N | N | N | N |</v>
      </c>
    </row>
    <row r="43" spans="1:25">
      <c r="A43" t="s">
        <v>294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CONSTRAINT | N | N | N | N | N | N | N | N | N | N | N | N | N | N | N | N | N | N | N | N | N | Y | N |</v>
      </c>
    </row>
    <row r="44" spans="1:25">
      <c r="A44" t="s">
        <v>134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CONTACT | N | N | N | N | N | N | N | N | N | N | N | N | N | N | N | N | N | Y | N | N | N | N | N |</v>
      </c>
    </row>
    <row r="45" spans="1:25">
      <c r="A45" t="s">
        <v>263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CONTEXT | N | N | N | N | N | N | N | N | N | N | N | N | N | Y | N | N | N | N | N | N | N | N | N |</v>
      </c>
    </row>
    <row r="46" spans="1:25">
      <c r="A46" t="s">
        <v>10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CONTRACT | N | N | N | N | N | N | N | N | N | N | N | N | N | N | N | N | N | N | N | Y | N | N | N |</v>
      </c>
    </row>
    <row r="47" spans="1:25">
      <c r="A47" t="s">
        <v>264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CONTROL FILE | N | N | N | N | N | N | N | N | N | N | N | N | N | Y | N | N | N | N | N | N | N | N | N |</v>
      </c>
    </row>
    <row r="48" spans="1:25">
      <c r="A48" t="s">
        <v>75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CONVERSION | N | N | N | N | N | N | Y | N | N | N | N | N | N | N | Y | N | N | N | N | N | N | N | N |</v>
      </c>
    </row>
    <row r="49" spans="1:25">
      <c r="A49" t="s">
        <v>135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CORTEX SEARCH SERVICE | N | N | N | N | N | N | N | N | N | N | N | N | N | N | N | N | N | Y | N | N | N | N | N |</v>
      </c>
    </row>
    <row r="50" spans="1:25">
      <c r="A50" t="s">
        <v>11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CREDENTIAL | N | N | N | N | N | N | N | Y | N | N | N | N | N | N | N | N | N | N | N | Y | N | N | N |</v>
      </c>
    </row>
    <row r="51" spans="1:25">
      <c r="A51" t="s">
        <v>12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CRYPOTGRAPHIC PROVIDER | N | N | N | N | N | N | N | N | N | N | N | N | N | N | N | N | N | N | N | Y | N | N | N |</v>
      </c>
    </row>
    <row r="52" spans="1:25">
      <c r="A52" t="s">
        <v>305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1</v>
      </c>
      <c r="Y5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 LOADER | N | N | N | N | N | N | N | N | N | N | N | N | N | N | N | N | N | N | N | N | N | N | Y |</v>
      </c>
    </row>
    <row r="53" spans="1:25">
      <c r="A53" t="s">
        <v>136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 METRIC FUNCTION | N | N | N | N | N | N | N | N | N | N | N | N | N | N | N | N | N | Y | N | N | N | N | N |</v>
      </c>
    </row>
    <row r="54" spans="1:25">
      <c r="A54" t="s">
        <v>13</v>
      </c>
      <c r="B54" t="b">
        <v>0</v>
      </c>
      <c r="C54" t="b">
        <v>1</v>
      </c>
      <c r="D54" t="b">
        <v>1</v>
      </c>
      <c r="E54" t="b">
        <v>0</v>
      </c>
      <c r="F54" t="b">
        <v>0</v>
      </c>
      <c r="G54" t="b">
        <v>0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0</v>
      </c>
      <c r="O54" t="b">
        <v>1</v>
      </c>
      <c r="P54" t="b">
        <v>1</v>
      </c>
      <c r="Q54" t="b">
        <v>0</v>
      </c>
      <c r="R54" t="b">
        <v>1</v>
      </c>
      <c r="S54" t="b">
        <v>1</v>
      </c>
      <c r="T54" t="b">
        <v>0</v>
      </c>
      <c r="U54" t="b">
        <v>1</v>
      </c>
      <c r="V54" t="b">
        <v>0</v>
      </c>
      <c r="W54" t="b">
        <v>1</v>
      </c>
      <c r="X54" t="b">
        <v>0</v>
      </c>
      <c r="Y5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DATABASE | N | Y | Y | N | N | N | Y | Y | Y | Y | Y | Y | N | Y | Y | N | Y | Y | N | Y | N | Y | N |</v>
      </c>
    </row>
    <row r="55" spans="1:25">
      <c r="A55" t="s">
        <v>14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DATABASE AUDIT SPECIFICATION | N | N | N | N | N | N | N | N | N | N | N | N | N | N | N | N | N | N | N | Y | N | N | N |</v>
      </c>
    </row>
    <row r="56" spans="1:25">
      <c r="A56" t="s">
        <v>15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DATABASE ENCRYPTION KEY | N | N | N | N | N | N | N | N | N | N | N | N | N | N | N | N | N | N | N | Y | N | N | N |</v>
      </c>
    </row>
    <row r="57" spans="1:25">
      <c r="A57" t="s">
        <v>265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DATABASE LINK | N | N | N | N | N | N | N | N | N | N | N | N | N | Y | N | N | N | N | N | N | N | N | N |</v>
      </c>
    </row>
    <row r="58" spans="1:25">
      <c r="A58" t="s">
        <v>173</v>
      </c>
      <c r="B58" t="b">
        <v>0</v>
      </c>
      <c r="C58" t="b">
        <v>0</v>
      </c>
      <c r="D58" t="b">
        <v>0</v>
      </c>
      <c r="E58" t="b">
        <v>1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DATABASE PARTITION GROUP | N | N | N | Y | N | N | N | N | N | N | N | N | N | N | N | N | N | N | N | N | N | N | N |</v>
      </c>
    </row>
    <row r="59" spans="1:25">
      <c r="A59" t="s">
        <v>117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DATABASE ROLE | N | N | N | N | N | N | N | N | N | N | N | N | N | N | N | N | N | Y | N | N | N | N | N |</v>
      </c>
    </row>
    <row r="60" spans="1:25">
      <c r="A60" t="s">
        <v>16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DATABASE SCOPED CREDENITAL | N | N | N | N | N | N | N | N | N | N | N | N | N | N | N | N | N | N | N | Y | N | N | N |</v>
      </c>
    </row>
    <row r="61" spans="1:25">
      <c r="A61" t="s">
        <v>295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1</v>
      </c>
      <c r="X61" t="b">
        <v>0</v>
      </c>
      <c r="Y6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DATALAKE | N | N | N | N | N | N | N | N | N | N | N | N | N | N | N | N | N | N | N | N | N | Y | N |</v>
      </c>
    </row>
    <row r="62" spans="1:25">
      <c r="A62" t="s">
        <v>137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DATASET | N | N | N | N | N | N | N | N | N | N | N | N | N | N | N | N | N | Y | N | N | N | N | N |</v>
      </c>
    </row>
    <row r="63" spans="1:25">
      <c r="A63" t="s">
        <v>287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DATASHARE | N | N | N | N | N | N | N | N | N | N | N | N | N | N | N | N | Y | N | N | N | N | N | N |</v>
      </c>
    </row>
    <row r="64" spans="1:25">
      <c r="A64" t="s">
        <v>138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DBT PROJECT | N | N | N | N | N | N | N | N | N | N | N | N | N | N | N | N | N | Y | N | N | N | N | N |</v>
      </c>
    </row>
    <row r="65" spans="1:25">
      <c r="A65" t="s">
        <v>17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DEFAULT | N | N | N | N | N | N | N | N | N | N | N | N | N | N | N | N | N | N | N | Y | N | N | N |</v>
      </c>
    </row>
    <row r="66" spans="1:25">
      <c r="A66" t="s">
        <v>224</v>
      </c>
      <c r="B66" t="b">
        <v>0</v>
      </c>
      <c r="C66" t="b">
        <v>1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DICTIONARY | N | Y | N | N | N | N | N | N | N | N | N | N | N | N | N | N | N | N | N | N | N | N | N |</v>
      </c>
    </row>
    <row r="67" spans="1:25">
      <c r="A67" t="s">
        <v>266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DIMENSION | N | N | N | N | N | N | N | N | N | N | N | N | N | Y | N | N | N | N | N | N | N | N | N |</v>
      </c>
    </row>
    <row r="68" spans="1:25">
      <c r="A68" t="s">
        <v>306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DIRECTED QUERY | N | N | N | N | N | N | N | N | N | N | N | N | N | N | N | N | N | N | N | N | N | N | Y |</v>
      </c>
    </row>
    <row r="69" spans="1:25">
      <c r="A69" t="s">
        <v>267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DIRECTORY | N | N | N | N | N | N | N | N | N | N | N | N | N | Y | N | N | N | N | N | N | N | N | N |</v>
      </c>
    </row>
    <row r="70" spans="1:25">
      <c r="A70" t="s">
        <v>268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DISKGROUP | N | N | N | N | N | N | N | N | N | N | N | N | N | Y | N | N | N | N | N | N | N | N | N |</v>
      </c>
    </row>
    <row r="71" spans="1:25">
      <c r="A71" t="s">
        <v>76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DOMAIN | N | N | N | N | N | N | Y | N | N | N | N | N | N | N | Y | N | N | N | N | N | N | N | N |</v>
      </c>
    </row>
    <row r="72" spans="1:25">
      <c r="A72" t="s">
        <v>139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DYNAMIC TABLE | N | N | N | N | N | N | N | N | N | N | N | N | N | N | N | N | N | Y | N | N | N | N | N |</v>
      </c>
    </row>
    <row r="73" spans="1:25">
      <c r="A73" t="s">
        <v>269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EDITION | N | N | N | N | N | N | N | N | N | N | N | N | N | Y | N | N | N | N | N | N | N | N | N |</v>
      </c>
    </row>
    <row r="74" spans="1:25">
      <c r="A74" t="s">
        <v>18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b">
        <v>0</v>
      </c>
      <c r="Y7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ENDPOINT | N | N | N | N | N | N | N | N | N | N | N | N | N | N | N | N | N | N | N | Y | N | N | N |</v>
      </c>
    </row>
    <row r="75" spans="1:25">
      <c r="A75" t="s">
        <v>296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ERROR TABLE | N | N | N | N | N | N | N | N | N | N | N | N | N | N | N | N | N | N | N | N | N | Y | N |</v>
      </c>
    </row>
    <row r="76" spans="1:25">
      <c r="A76" t="s">
        <v>104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EVENT | N | N | N | N | N | N | N | N | N | N | Y | Y | N | N | N | N | N | N | N | N | N | N | N |</v>
      </c>
    </row>
    <row r="77" spans="1:25">
      <c r="A77" t="s">
        <v>174</v>
      </c>
      <c r="B77" t="b">
        <v>0</v>
      </c>
      <c r="C77" t="b">
        <v>0</v>
      </c>
      <c r="D77" t="b">
        <v>0</v>
      </c>
      <c r="E77" t="b">
        <v>1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EVENT MONITOR | N | N | N | Y | N | N | N | N | N | N | N | N | N | N | N | N | N | N | N | N | N | N | N |</v>
      </c>
    </row>
    <row r="78" spans="1:25">
      <c r="A78" t="s">
        <v>19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EVENT NOTIFICATION | N | N | N | N | N | N | N | N | N | N | N | N | N | N | N | N | N | N | N | Y | N | N | N |</v>
      </c>
    </row>
    <row r="79" spans="1:25">
      <c r="A79" t="s">
        <v>20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EVENT SESSION | N | N | N | N | N | N | N | N | N | N | N | N | N | N | N | N | N | N | N | Y | N | N | N |</v>
      </c>
    </row>
    <row r="80" spans="1:25">
      <c r="A80" t="s">
        <v>140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EVENT TABLE | N | N | N | N | N | N | N | N | N | N | N | N | N | N | N | N | N | Y | N | N | N | N | N |</v>
      </c>
    </row>
    <row r="81" spans="1:25">
      <c r="A81" t="s">
        <v>77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EVENT TRIGGER | N | N | N | N | N | N | N | N | N | N | N | N | N | N | Y | N | N | N | N | N | N | N | N |</v>
      </c>
    </row>
    <row r="82" spans="1:25">
      <c r="A82" t="s">
        <v>78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EXTENSION | N | N | N | N | N | N | Y | N | N | N | N | N | N | N | Y | N | N | N | N | N | N | N | N |</v>
      </c>
    </row>
    <row r="83" spans="1:25">
      <c r="A83" t="s">
        <v>118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ACCESS INTEGRATION | N | N | N | N | N | N | N | N | N | N | N | N | N | N | N | N | N | Y | N | N | N | N | N |</v>
      </c>
    </row>
    <row r="84" spans="1:25">
      <c r="A84" t="s">
        <v>21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DATA SOURCE | N | N | N | N | N | N | N | N | N | N | N | N | N | N | N | N | N | N | N | Y | N | N | N |</v>
      </c>
    </row>
    <row r="85" spans="1:25">
      <c r="A85" t="s">
        <v>22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DATA SOURCE CONNECTION_OPTIONS | N | N | N | N | N | N | N | N | N | N | N | N | N | N | N | N | N | N | N | Y | N | N | N |</v>
      </c>
    </row>
    <row r="86" spans="1:25">
      <c r="A86" t="s">
        <v>25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FILE FORMAT | N | N | N | N | N | N | N | N | N | N | N | N | N | N | N | N | N | N | N | Y | N | N | N |</v>
      </c>
    </row>
    <row r="87" spans="1:25">
      <c r="A87" t="s">
        <v>141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FUNCTION | N | N | N | N | N | N | N | N | N | N | N | N | N | N | N | N | Y | Y | N | N | N | N | N |</v>
      </c>
    </row>
    <row r="88" spans="1:25">
      <c r="A88" t="s">
        <v>23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LANGUAGE | N | N | N | N | N | N | N | N | N | N | N | N | N | N | N | N | N | N | N | Y | N | N | N |</v>
      </c>
    </row>
    <row r="89" spans="1:25">
      <c r="A89" t="s">
        <v>24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LIBRARY | N | N | N | N | N | N | N | N | N | N | N | N | N | N | N | N | N | N | N | Y | N | N | N |</v>
      </c>
    </row>
    <row r="90" spans="1:25">
      <c r="A90" t="s">
        <v>288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MODEL | N | N | N | N | N | N | N | N | N | N | N | N | N | N | N | N | Y | N | N | N | N | N | N |</v>
      </c>
    </row>
    <row r="91" spans="1:25">
      <c r="A91" t="s">
        <v>26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RESOURCE POOL | N | N | N | N | N | N | N | N | N | N | N | N | N | N | N | N | N | N | N | Y | N | N | N |</v>
      </c>
    </row>
    <row r="92" spans="1:25">
      <c r="A92" t="s">
        <v>216</v>
      </c>
      <c r="B92" t="b">
        <v>1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SCHEMA | Y | N | N | N | N | N | N | N | N | N | N | N | N | N | N | N | Y | N | N | N | N | N | N |</v>
      </c>
    </row>
    <row r="93" spans="1:25">
      <c r="A93" t="s">
        <v>27</v>
      </c>
      <c r="B93" t="b">
        <v>1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TABLE | Y | N | N | N | N | N | Y | N | N | N | N | N | N | N | N | N | Y | N | N | Y | N | N | N |</v>
      </c>
    </row>
    <row r="94" spans="1:25">
      <c r="A94" t="s">
        <v>307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1</v>
      </c>
      <c r="Y9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TABLE AS COPY | N | N | N | N | N | N | N | N | N | N | N | N | N | N | N | N | N | N | N | N | N | N | Y |</v>
      </c>
    </row>
    <row r="95" spans="1:25">
      <c r="A95" t="s">
        <v>28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0</v>
      </c>
      <c r="X95" t="b">
        <v>0</v>
      </c>
      <c r="Y9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TABLE AS SELECT | N | N | N | N | N | N | N | N | N | N | N | N | N | N | N | N | N | N | N | Y | N | N | N |</v>
      </c>
    </row>
    <row r="96" spans="1:25">
      <c r="A96" t="s">
        <v>308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1</v>
      </c>
      <c r="Y9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TABLE ICEBERG | N | N | N | N | N | N | N | N | N | N | N | N | N | N | N | N | N | N | N | N | N | N | Y |</v>
      </c>
    </row>
    <row r="97" spans="1:25">
      <c r="A97" t="s">
        <v>289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VIEW | N | N | N | N | N | N | N | N | N | N | N | N | N | N | N | N | Y | N | N | N | N | N | N |</v>
      </c>
    </row>
    <row r="98" spans="1:25">
      <c r="A98" t="s">
        <v>119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EXTERNAL VOLUME | N | N | N | N | N | N | N | N | N | N | N | N | N | N | N | N | N | Y | N | N | N | N | N |</v>
      </c>
    </row>
    <row r="99" spans="1:25">
      <c r="A99" t="s">
        <v>120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FAILOVER GROUP | N | N | N | N | N | N | N | N | N | N | N | N | N | N | N | N | N | Y | N | N | N | N | N |</v>
      </c>
    </row>
    <row r="100" spans="1:25">
      <c r="A100" t="s">
        <v>309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1</v>
      </c>
      <c r="Y10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FAULT GROUP | N | N | N | N | N | N | N | N | N | N | N | N | N | N | N | N | N | N | N | N | N | N | Y |</v>
      </c>
    </row>
    <row r="101" spans="1:25">
      <c r="A101" t="s">
        <v>121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FEATURE POLICY | N | N | N | N | N | N | N | N | N | N | N | N | N | N | N | N | N | Y | N | N | N | N | N |</v>
      </c>
    </row>
    <row r="102" spans="1:25">
      <c r="A102" t="s">
        <v>142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FILE FORMAT | N | N | N | N | N | N | N | N | N | N | N | N | N | N | N | N | N | Y | N | N | N | N | N |</v>
      </c>
    </row>
    <row r="103" spans="1:25">
      <c r="A103" t="s">
        <v>270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FLASHBACK ARCHIVE | N | N | N | N | N | N | N | N | N | N | N | N | N | Y | N | N | N | N | N | N | N | N | N |</v>
      </c>
    </row>
    <row r="104" spans="1:25">
      <c r="A104" t="s">
        <v>310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1</v>
      </c>
      <c r="Y10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FLEXIBLE EXTERNAL TABLE AS COPY | N | N | N | N | N | N | N | N | N | N | N | N | N | N | N | N | N | N | N | N | N | N | Y |</v>
      </c>
    </row>
    <row r="105" spans="1:25">
      <c r="A105" t="s">
        <v>311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FLEXIBLE TABLE | N | N | N | N | N | N | N | N | N | N | N | N | N | N | N | N | N | N | N | N | N | N | Y |</v>
      </c>
    </row>
    <row r="106" spans="1:25">
      <c r="A106" t="s">
        <v>79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FOREIGN DATA WRAPPER | N | N | N | N | N | N | Y | N | N | N | N | N | N | N | Y | N | N | N | N | N | N | N | N |</v>
      </c>
    </row>
    <row r="107" spans="1:25">
      <c r="A107" t="s">
        <v>235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FOREIGN TABLE | N | N | N | N | N | N | Y | N | N | N | N | N | N | N | N | N | N | N | N | N | N | Y | N |</v>
      </c>
    </row>
    <row r="108" spans="1:25">
      <c r="A108" t="s">
        <v>29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FULLTEXT CATALOG | N | N | N | N | N | N | N | N | N | N | N | N | N | N | N | N | N | N | N | Y | N | N | N |</v>
      </c>
    </row>
    <row r="109" spans="1:25">
      <c r="A109" t="s">
        <v>30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FULLTEXT INDEX | N | N | N | N | N | N | N | Y | N | N | N | N | N | N | N | N | N | N | N | Y | N | N | N |</v>
      </c>
    </row>
    <row r="110" spans="1:25">
      <c r="A110" t="s">
        <v>31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FULLTEXT STOPLIST | N | N | N | N | N | N | N | N | N | N | N | N | N | N | N | N | N | N | N | Y | N | N | N |</v>
      </c>
    </row>
    <row r="111" spans="1:25">
      <c r="A111" t="s">
        <v>32</v>
      </c>
      <c r="B111" t="b">
        <v>1</v>
      </c>
      <c r="C111" t="b">
        <v>1</v>
      </c>
      <c r="D111" t="b">
        <v>1</v>
      </c>
      <c r="E111" t="b">
        <v>1</v>
      </c>
      <c r="F111" t="b">
        <v>0</v>
      </c>
      <c r="G111" t="b">
        <v>0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0</v>
      </c>
      <c r="O111" t="b">
        <v>1</v>
      </c>
      <c r="P111" t="b">
        <v>1</v>
      </c>
      <c r="Q111" t="b">
        <v>1</v>
      </c>
      <c r="R111" t="b">
        <v>1</v>
      </c>
      <c r="S111" t="b">
        <v>1</v>
      </c>
      <c r="T111" t="b">
        <v>0</v>
      </c>
      <c r="U111" t="b">
        <v>1</v>
      </c>
      <c r="V111" t="b">
        <v>0</v>
      </c>
      <c r="W111" t="b">
        <v>1</v>
      </c>
      <c r="X111" t="b">
        <v>1</v>
      </c>
      <c r="Y11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FUNCTION | Y | Y | Y | Y | N | N | Y | Y | Y | Y | Y | Y | N | Y | Y | Y | Y | Y | N | Y | N | Y | Y |</v>
      </c>
    </row>
    <row r="112" spans="1:25">
      <c r="A112" t="s">
        <v>175</v>
      </c>
      <c r="B112" t="b">
        <v>0</v>
      </c>
      <c r="C112" t="b">
        <v>0</v>
      </c>
      <c r="D112" t="b">
        <v>0</v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1</v>
      </c>
      <c r="X112" t="b">
        <v>0</v>
      </c>
      <c r="Y11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FUNCTION MAPPING | N | N | N | Y | N | N | N | N | N | N | N | N | N | N | N | N | N | N | N | N | N | Y | N |</v>
      </c>
    </row>
    <row r="113" spans="1:25">
      <c r="A113" t="s">
        <v>241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FUZZY SEARCH INDEX | N | N | N | N | N | N | N | Y | N | N | N | N | N | N | N | N | N | N | N | N | N | N | N |</v>
      </c>
    </row>
    <row r="114" spans="1:25">
      <c r="A114" t="s">
        <v>143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GIT REPOSITORY | N | N | N | N | N | N | N | N | N | N | N | N | N | N | N | N | N | Y | N | N | N | N | N |</v>
      </c>
    </row>
    <row r="115" spans="1:25">
      <c r="A115" t="s">
        <v>176</v>
      </c>
      <c r="B115" t="b">
        <v>0</v>
      </c>
      <c r="C115" t="b">
        <v>0</v>
      </c>
      <c r="D115" t="b">
        <v>0</v>
      </c>
      <c r="E115" t="b">
        <v>1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GLOBAL TEMPORARY TABLE | N | N | N | Y | N | N | N | N | N | N | N | N | N | N | N | N | N | N | N | N | N | N | N |</v>
      </c>
    </row>
    <row r="116" spans="1:25">
      <c r="A116" t="s">
        <v>297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GLOBAL TEMPORARY TRACE TABLE | N | N | N | N | N | N | N | N | N | N | N | N | N | N | N | N | N | N | N | N | N | Y | N |</v>
      </c>
    </row>
    <row r="117" spans="1:25">
      <c r="A117" t="s">
        <v>298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1</v>
      </c>
      <c r="X117" t="b">
        <v>0</v>
      </c>
      <c r="Y11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GLOP SET | N | N | N | N | N | N | N | N | N | N | N | N | N | N | N | N | N | N | N | N | N | Y | N |</v>
      </c>
    </row>
    <row r="118" spans="1:25">
      <c r="A118" t="s">
        <v>242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GRAPH WORKSPACE | N | N | N | N | N | N | N | Y | N | N | N | N | N | N | N | N | N | N | N | N | N | N | N |</v>
      </c>
    </row>
    <row r="119" spans="1:25">
      <c r="A119" t="s">
        <v>80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GROUP | N | N | N | N | N | N | Y | N | N | N | N | N | N | N | Y | N | Y | N | N | N | N | N | N |</v>
      </c>
    </row>
    <row r="120" spans="1:25">
      <c r="A120" t="s">
        <v>312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1</v>
      </c>
      <c r="Y12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HCATALOG | N | N | N | N | N | N | N | N | N | N | N | N | N | N | N | N | N | N | N | N | N | N | Y |</v>
      </c>
    </row>
    <row r="121" spans="1:25">
      <c r="A121" t="s">
        <v>271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1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HIERARCHY | N | N | N | N | N | N | N | N | N | N | N | N | N | Y | N | N | N | N | N | N | N | N | N |</v>
      </c>
    </row>
    <row r="122" spans="1:25">
      <c r="A122" t="s">
        <v>177</v>
      </c>
      <c r="B122" t="b">
        <v>0</v>
      </c>
      <c r="C122" t="b">
        <v>0</v>
      </c>
      <c r="D122" t="b">
        <v>0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HISTOGRAM TEMPLATE | N | N | N | Y | N | N | N | N | N | N | N | N | N | N | N | N | N | N | N | N | N | N | N |</v>
      </c>
    </row>
    <row r="123" spans="1:25">
      <c r="A123" t="s">
        <v>144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HYBRID TABLE | N | N | N | N | N | N | N | N | N | N | N | N | N | N | N | N | N | Y | N | N | N | N | N |</v>
      </c>
    </row>
    <row r="124" spans="1:25">
      <c r="A124" t="s">
        <v>145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ICEBURG TABLE | N | N | N | N | N | N | N | N | N | N | N | N | N | N | N | N | N | Y | N | N | N | N | N |</v>
      </c>
    </row>
    <row r="125" spans="1:25">
      <c r="A125" t="s">
        <v>290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IDENTITY PROVIDER | N | N | N | N | N | N | N | N | N | N | N | N | N | N | N | N | Y | N | N | N | N | N | N |</v>
      </c>
    </row>
    <row r="126" spans="1:25">
      <c r="A126" t="s">
        <v>146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IMAGE REPOSITORY | N | N | N | N | N | N | N | N | N | N | N | N | N | N | N | N | N | Y | N | N | N | N | N |</v>
      </c>
    </row>
    <row r="127" spans="1:25">
      <c r="A127" t="s">
        <v>33</v>
      </c>
      <c r="B127" t="b">
        <v>0</v>
      </c>
      <c r="C127" t="b">
        <v>0</v>
      </c>
      <c r="D127" t="b">
        <v>0</v>
      </c>
      <c r="E127" t="b">
        <v>1</v>
      </c>
      <c r="F127" t="b">
        <v>1</v>
      </c>
      <c r="G127" t="b">
        <v>0</v>
      </c>
      <c r="H127" t="b">
        <v>1</v>
      </c>
      <c r="I127" t="b">
        <v>1</v>
      </c>
      <c r="J127" t="b">
        <v>1</v>
      </c>
      <c r="K127" t="b">
        <v>0</v>
      </c>
      <c r="L127" t="b">
        <v>1</v>
      </c>
      <c r="M127" t="b">
        <v>1</v>
      </c>
      <c r="N127" t="b">
        <v>0</v>
      </c>
      <c r="O127" t="b">
        <v>1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  <c r="U127" t="b">
        <v>1</v>
      </c>
      <c r="V127" t="b">
        <v>0</v>
      </c>
      <c r="W127" t="b">
        <v>1</v>
      </c>
      <c r="X127" t="b">
        <v>0</v>
      </c>
      <c r="Y12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INDEX | N | N | N | Y | Y | N | Y | Y | Y | N | Y | Y | N | Y | Y | N | N | N | Y | Y | N | Y | N |</v>
      </c>
    </row>
    <row r="128" spans="1:25">
      <c r="A128" t="s">
        <v>178</v>
      </c>
      <c r="B128" t="b">
        <v>0</v>
      </c>
      <c r="C128" t="b">
        <v>0</v>
      </c>
      <c r="D128" t="b">
        <v>0</v>
      </c>
      <c r="E128" t="b">
        <v>1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INDEX EXTENSION | N | N | N | Y | N | N | N | N | N | N | N | N | N | N | N | N | N | N | N | N | N | N | N |</v>
      </c>
    </row>
    <row r="129" spans="1:25">
      <c r="A129" t="s">
        <v>272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INDEXTYPE | N | N | N | N | N | N | N | N | N | N | N | N | N | Y | N | N | N | N | N | N | N | N | N |</v>
      </c>
    </row>
    <row r="130" spans="1:25">
      <c r="A130" t="s">
        <v>273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INMEMORY JOIN GROUP | N | N | N | N | N | N | N | N | N | N | N | N | N | Y | N | N | N | N | N | N | N | N | N |</v>
      </c>
    </row>
    <row r="131" spans="1:25">
      <c r="A131" t="s">
        <v>274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JAVA | N | N | N | N | N | N | N | N | N | N | N | N | N | Y | N | N | N | N | N | N | N | N | N |</v>
      </c>
    </row>
    <row r="132" spans="1:25">
      <c r="A132" t="s">
        <v>299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JOIN INDEX | N | N | N | N | N | N | N | N | N | N | N | N | N | N | N | N | N | N | N | N | N | Y | N |</v>
      </c>
    </row>
    <row r="133" spans="1:25">
      <c r="A133" t="s">
        <v>147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JOIN POLICY | N | N | N | N | N | N | N | N | N | N | N | N | N | N | N | N | N | Y | N | N | N | N | N |</v>
      </c>
    </row>
    <row r="134" spans="1:25">
      <c r="A134" t="s">
        <v>105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JSON DUALITY VIEW | N | N | N | N | N | N | N | N | N | N | N | Y | N | N | N | N | N | N | N | N | N | N | N |</v>
      </c>
    </row>
    <row r="135" spans="1:25">
      <c r="A135" t="s">
        <v>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JSON INDEX | N | N | N | N | N | N | N | N | N | N | N | N | N | N | N | N | N | N | N | Y | N | N | N |</v>
      </c>
    </row>
    <row r="136" spans="1:25">
      <c r="A136" t="s">
        <v>243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JWT PROVIDER | N | N | N | N | N | N | N | Y | N | N | N | N | N | N | N | N | N | N | N | N | N | N | N |</v>
      </c>
    </row>
    <row r="137" spans="1:25">
      <c r="A137" t="s">
        <v>313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KEY | N | N | N | N | N | N | N | N | N | N | N | N | N | N | N | N | N | N | N | N | N | N | Y |</v>
      </c>
    </row>
    <row r="138" spans="1:25">
      <c r="A138" t="s">
        <v>81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LANGUAGE | N | N | N | N | N | N | Y | N | N | N | N | N | N | N | Y | N | N | N | N | N | N | N | N |</v>
      </c>
    </row>
    <row r="139" spans="1:25">
      <c r="A139" t="s">
        <v>244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LDAP PROVIDER | N | N | N | N | N | N | N | Y | N | N | N | N | N | N | N | N | N | N | N | N | N | N | N |</v>
      </c>
    </row>
    <row r="140" spans="1:25">
      <c r="A140" t="s">
        <v>106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1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LIBRARY | N | N | N | N | N | N | N | Y | N | N | N | Y | N | Y | N | N | Y | N | N | N | N | N | Y |</v>
      </c>
    </row>
    <row r="141" spans="1:25">
      <c r="A141" t="s">
        <v>148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LISTING | N | N | N | N | N | N | N | N | N | N | N | N | N | N | N | N | N | Y | N | N | N | N | N |</v>
      </c>
    </row>
    <row r="142" spans="1:25">
      <c r="A142" t="s">
        <v>314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LOAD BALANCE GROUP | N | N | N | N | N | N | N | N | N | N | N | N | N | N | N | N | N | N | N | N | N | N | Y |</v>
      </c>
    </row>
    <row r="143" spans="1:25">
      <c r="A143" t="s">
        <v>315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1</v>
      </c>
      <c r="Y14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LOCAL TEMPORARY VIEW | N | N | N | N | N | N | N | N | N | N | N | N | N | N | N | N | N | N | N | N | N | N | Y |</v>
      </c>
    </row>
    <row r="144" spans="1:25">
      <c r="A144" t="s">
        <v>231</v>
      </c>
      <c r="B144" t="b">
        <v>0</v>
      </c>
      <c r="C144" t="b">
        <v>0</v>
      </c>
      <c r="D144" t="b">
        <v>1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1</v>
      </c>
      <c r="Y14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LOCATION | N | N | Y | N | N | N | N | N | N | N | N | N | N | N | N | N | N | N | N | N | N | N | Y |</v>
      </c>
    </row>
    <row r="145" spans="1:25">
      <c r="A145" t="s">
        <v>275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LOCKDOWN PROFILE | N | N | N | N | N | N | N | N | N | N | N | N | N | Y | N | N | N | N | N | N | N | N | N |</v>
      </c>
    </row>
    <row r="146" spans="1:25">
      <c r="A146" t="s">
        <v>107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1</v>
      </c>
      <c r="M146" t="b">
        <v>1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LOG FILE GROUP | N | N | N | N | N | N | N | N | N | N | Y | Y | N | N | N | N | N | N | N | N | N | N | N |</v>
      </c>
    </row>
    <row r="147" spans="1:25">
      <c r="A147" t="s">
        <v>35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  <c r="W147" t="b">
        <v>0</v>
      </c>
      <c r="X147" t="b">
        <v>0</v>
      </c>
      <c r="Y14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LOGIN | N | N | N | N | N | N | N | N | N | N | N | N | N | N | N | N | N | N | N | Y | N | N | N |</v>
      </c>
    </row>
    <row r="148" spans="1:25">
      <c r="A148" t="s">
        <v>99</v>
      </c>
      <c r="B148" t="b">
        <v>0</v>
      </c>
      <c r="C148" t="b">
        <v>0</v>
      </c>
      <c r="D148" t="b">
        <v>0</v>
      </c>
      <c r="E148" t="b">
        <v>0</v>
      </c>
      <c r="F148" t="b">
        <v>1</v>
      </c>
      <c r="G148" t="b">
        <v>0</v>
      </c>
      <c r="H148" t="b">
        <v>0</v>
      </c>
      <c r="I148" t="b">
        <v>0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MACRO | N | N | N | N | Y | N | N | N | Y | N | N | N | N | N | N | N | N | N | N | N | N | Y | N |</v>
      </c>
    </row>
    <row r="149" spans="1:25">
      <c r="A149" t="s">
        <v>300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1</v>
      </c>
      <c r="X149" t="b">
        <v>0</v>
      </c>
      <c r="Y14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MAP | N | N | N | N | N | N | N | N | N | N | N | N | N | N | N | N | N | N | N | N | N | Y | N |</v>
      </c>
    </row>
    <row r="150" spans="1:25">
      <c r="A150" t="s">
        <v>149</v>
      </c>
      <c r="B150" t="b">
        <v>0</v>
      </c>
      <c r="C150" t="b">
        <v>0</v>
      </c>
      <c r="D150" t="b">
        <v>0</v>
      </c>
      <c r="E150" t="b">
        <v>1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MASKING POLICY | N | N | N | Y | N | N | N | N | N | N | N | N | N | N | N | N | Y | N | N | N | N | N | N |</v>
      </c>
    </row>
    <row r="151" spans="1:25">
      <c r="A151" t="s">
        <v>149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MASKING POLICY | N | N | N | N | N | N | N | N | N | N | N | N | N | N | N | N | N | Y | N | N | N | N | N |</v>
      </c>
    </row>
    <row r="152" spans="1:25">
      <c r="A152" t="s">
        <v>36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MASTER KEY | N | N | N | N | N | N | N | N | N | N | N | N | N | N | N | N | N | N | N | Y | N | N | N |</v>
      </c>
    </row>
    <row r="153" spans="1:25">
      <c r="A153" t="s">
        <v>82</v>
      </c>
      <c r="B153" t="b">
        <v>1</v>
      </c>
      <c r="C153" t="b">
        <v>0</v>
      </c>
      <c r="D153" t="b">
        <v>1</v>
      </c>
      <c r="E153" t="b">
        <v>0</v>
      </c>
      <c r="F153" t="b">
        <v>0</v>
      </c>
      <c r="G153" t="b">
        <v>0</v>
      </c>
      <c r="H153" t="b">
        <v>1</v>
      </c>
      <c r="I153" t="b">
        <v>0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  <c r="O153" t="b">
        <v>1</v>
      </c>
      <c r="P153" t="b">
        <v>1</v>
      </c>
      <c r="Q153" t="b">
        <v>0</v>
      </c>
      <c r="R153" t="b">
        <v>1</v>
      </c>
      <c r="S153" t="b">
        <v>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MATERIALIZED VIEW | Y | N | Y | N | N | N | Y | N | Y | N | N | N | N | Y | Y | N | Y | Y | N | N | N | N | N |</v>
      </c>
    </row>
    <row r="154" spans="1:25">
      <c r="A154" t="s">
        <v>277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MATERIALIZED VIEW LOG | N | N | N | N | N | N | N | N | N | N | N | N | N | Y | N | N | N | N | N | N | N | N | N |</v>
      </c>
    </row>
    <row r="155" spans="1:25">
      <c r="A155" t="s">
        <v>276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MATERIALIZED ZONEMAP | N | N | N | N | N | N | N | N | N | N | N | N | N | Y | N | N | N | N | N | N | N | N | N |</v>
      </c>
    </row>
    <row r="156" spans="1:25">
      <c r="A156" t="s">
        <v>37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b">
        <v>0</v>
      </c>
      <c r="W156" t="b">
        <v>0</v>
      </c>
      <c r="X156" t="b">
        <v>0</v>
      </c>
      <c r="Y15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MESSAGE TYPE | N | N | N | N | N | N | N | N | N | N | N | N | N | N | N | N | N | N | N | Y | N | N | N |</v>
      </c>
    </row>
    <row r="157" spans="1:25">
      <c r="A157" t="s">
        <v>179</v>
      </c>
      <c r="B157" t="b">
        <v>0</v>
      </c>
      <c r="C157" t="b">
        <v>0</v>
      </c>
      <c r="D157" t="b">
        <v>0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METHOD | N | N | N | Y | N | N | N | N | N | N | N | N | N | N | N | N | N | N | N | N | N | N | N |</v>
      </c>
    </row>
    <row r="158" spans="1:25">
      <c r="A158" t="s">
        <v>150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MODEL | N | N | N | N | N | N | N | N | N | N | N | N | N | N | N | N | Y | Y | N | N | N | N | N |</v>
      </c>
    </row>
    <row r="159" spans="1:25">
      <c r="A159" t="s">
        <v>151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MODEL MONITOR | N | N | N | N | N | N | N | N | N | N | N | N | N | N | N | N | N | Y | N | N | N | N | N |</v>
      </c>
    </row>
    <row r="160" spans="1:25">
      <c r="A160" t="s">
        <v>180</v>
      </c>
      <c r="B160" t="b">
        <v>0</v>
      </c>
      <c r="C160" t="b">
        <v>0</v>
      </c>
      <c r="D160" t="b">
        <v>0</v>
      </c>
      <c r="E160" t="b">
        <v>1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MODULE | N | N | N | Y | N | N | N | N | N | N | N | N | N | N | N | N | N | N | N | N | N | N | N |</v>
      </c>
    </row>
    <row r="161" spans="1:25">
      <c r="A161" t="s">
        <v>228</v>
      </c>
      <c r="B161" t="b">
        <v>0</v>
      </c>
      <c r="C161" t="b">
        <v>1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NAMED COLLECTION | N | Y | N | N | N | N | N | N | N | N | N | N | N | N | N | N | N | N | N | N | N | N | N |</v>
      </c>
    </row>
    <row r="162" spans="1:25">
      <c r="A162" t="s">
        <v>316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1</v>
      </c>
      <c r="Y16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NETWORK ADDRESS | N | N | N | N | N | N | N | N | N | N | N | N | N | N | N | N | N | N | N | N | N | N | Y |</v>
      </c>
    </row>
    <row r="163" spans="1:25">
      <c r="A163" t="s">
        <v>317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1</v>
      </c>
      <c r="Y16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NETWORK INTERFACE | N | N | N | N | N | N | N | N | N | N | N | N | N | N | N | N | N | N | N | N | N | N | Y |</v>
      </c>
    </row>
    <row r="164" spans="1:25">
      <c r="A164" t="s">
        <v>122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NETWORK POLICY | N | N | N | N | N | N | N | N | N | N | N | N | N | N | N | N | N | Y | N | N | N | N | N |</v>
      </c>
    </row>
    <row r="165" spans="1:25">
      <c r="A165" t="s">
        <v>152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NETWORK RULE | N | N | N | N | N | N | N | N | N | N | N | N | N | N | N | N | N | Y | N | N | N | N | N |</v>
      </c>
    </row>
    <row r="166" spans="1:25">
      <c r="A166" t="s">
        <v>181</v>
      </c>
      <c r="B166" t="b">
        <v>0</v>
      </c>
      <c r="C166" t="b">
        <v>0</v>
      </c>
      <c r="D166" t="b">
        <v>0</v>
      </c>
      <c r="E166" t="b">
        <v>1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NICKNAME | N | N | N | Y | N | N | N | N | N | N | N | N | N | N | N | N | N | N | N | N | N | N | N |</v>
      </c>
    </row>
    <row r="167" spans="1:25">
      <c r="A167" t="s">
        <v>153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NOTEBOOK | N | N | N | N | N | N | N | N | N | N | N | N | N | N | N | N | N | Y | N | N | N | N | N |</v>
      </c>
    </row>
    <row r="168" spans="1:25">
      <c r="A168" t="s">
        <v>123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NOTIFICATION INTEGRATION | N | N | N | N | N | N | N | N | N | N | N | N | N | N | N | N | N | Y | N | N | N | N | N |</v>
      </c>
    </row>
    <row r="169" spans="1:25">
      <c r="A169" t="s">
        <v>318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1</v>
      </c>
      <c r="Y16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NOTIFIER | N | N | N | N | N | N | N | N | N | N | N | N | N | N | N | N | N | N | N | N | N | N | Y |</v>
      </c>
    </row>
    <row r="170" spans="1:25">
      <c r="A170" t="s">
        <v>83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OPERATOR | N | N | N | N | N | N | Y | N | N | N | N | N | N | Y | Y | N | N | N | N | N | N | N | N |</v>
      </c>
    </row>
    <row r="171" spans="1:25">
      <c r="A171" t="s">
        <v>84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OPERATOR CLASS | N | N | N | N | N | N | Y | N | N | N | N | N | N | N | Y | N | N | N | N | N | N | N | N |</v>
      </c>
    </row>
    <row r="172" spans="1:25">
      <c r="A172" t="s">
        <v>85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OPERATOR FAMILY | N | N | N | N | N | N | Y | N | N | N | N | N | N | N | Y | N | N | N | N | N | N | N | N |</v>
      </c>
    </row>
    <row r="173" spans="1:25">
      <c r="A173" t="s">
        <v>154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ORGANIZATION LISTING | N | N | N | N | N | N | N | N | N | N | N | N | N | N | N | N | N | Y | N | N | N | N | N |</v>
      </c>
    </row>
    <row r="174" spans="1:25">
      <c r="A174" t="s">
        <v>124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ORGANIZATION PROFILE | N | N | N | N | N | N | N | N | N | N | N | N | N | N | N | N | N | Y | N | N | N | N | N |</v>
      </c>
    </row>
    <row r="175" spans="1:25">
      <c r="A175" t="s">
        <v>278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OUTLINE | N | N | N | N | N | N | N | N | N | N | N | N | N | Y | N | N | N | N | N | N | N | N | N |</v>
      </c>
    </row>
    <row r="176" spans="1:25">
      <c r="A176" t="s">
        <v>259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1</v>
      </c>
      <c r="M176" t="b">
        <v>0</v>
      </c>
      <c r="N176" t="b">
        <v>0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PACKAGE | N | N | N | N | N | N | N | N | N | N | Y | N | N | Y | N | N | N | N | N | N | N | N | N |</v>
      </c>
    </row>
    <row r="177" spans="1:25">
      <c r="A177" t="s">
        <v>258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1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PACKAGE BODY | N | N | N | N | N | N | N | N | N | N | Y | N | N | Y | N | N | N | N | N | N | N | N | N |</v>
      </c>
    </row>
    <row r="178" spans="1:25">
      <c r="A178" t="s">
        <v>155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PACKAGES POLICY | N | N | N | N | N | N | N | N | N | N | N | N | N | N | N | N | N | Y | N | N | N | N | N |</v>
      </c>
    </row>
    <row r="179" spans="1:25">
      <c r="A179" t="s">
        <v>38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PARTITION FUNCTION | N | N | N | N | N | N | N | N | N | N | N | N | N | N | N | N | N | N | N | Y | N | N | N |</v>
      </c>
    </row>
    <row r="180" spans="1:25">
      <c r="A180" t="s">
        <v>39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PARTITION SCHEMA | N | N | N | N | N | N | N | N | N | N | N | N | N | N | N | N | N | N | N | Y | N | N | N |</v>
      </c>
    </row>
    <row r="181" spans="1:25">
      <c r="A181" t="s">
        <v>156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PASSWORD POLICY | N | N | N | N | N | N | N | N | N | N | N | N | N | N | N | N | N | Y | N | N | N | N | N |</v>
      </c>
    </row>
    <row r="182" spans="1:25">
      <c r="A182" t="s">
        <v>182</v>
      </c>
      <c r="B182" t="b">
        <v>0</v>
      </c>
      <c r="C182" t="b">
        <v>0</v>
      </c>
      <c r="D182" t="b">
        <v>0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PERMISSION | N | N | N | Y | N | N | N | N | N | N | N | N | N | N | N | N | N | N | N | N | N | N | N |</v>
      </c>
    </row>
    <row r="183" spans="1:25">
      <c r="A183" t="s">
        <v>279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PFILE | N | N | N | N | N | N | N | N | N | N | N | N | N | Y | N | N | N | N | N | N | N | N | N |</v>
      </c>
    </row>
    <row r="184" spans="1:25">
      <c r="A184" t="s">
        <v>157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PIPE | N | N | N | N | N | N | N | N | N | N | N | N | N | N | N | N | N | Y | N | N | N | N | N |</v>
      </c>
    </row>
    <row r="185" spans="1:25">
      <c r="A185" t="s">
        <v>280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PLUGGABLE DATABASE | N | N | N | N | N | N | N | N | N | N | N | N | N | Y | N | N | N | N | N | N | N | N | N |</v>
      </c>
    </row>
    <row r="186" spans="1:25">
      <c r="A186" t="s">
        <v>86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POLICY | N | N | N | N | N | N | Y | N | N | N | N | N | N | N | Y | N | N | N | N | N | N | N | N |</v>
      </c>
    </row>
    <row r="187" spans="1:25">
      <c r="A187" t="s">
        <v>158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PRIVACY POLICY | N | N | N | N | N | N | N | N | N | N | N | N | N | N | N | N | N | Y | N | N | N | N | N |</v>
      </c>
    </row>
    <row r="188" spans="1:25">
      <c r="A188" t="s">
        <v>40</v>
      </c>
      <c r="B188" t="b">
        <v>1</v>
      </c>
      <c r="C188" t="b">
        <v>0</v>
      </c>
      <c r="D188" t="b">
        <v>1</v>
      </c>
      <c r="E188" t="b">
        <v>1</v>
      </c>
      <c r="F188" t="b">
        <v>0</v>
      </c>
      <c r="G188" t="b">
        <v>0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0</v>
      </c>
      <c r="O188" t="b">
        <v>1</v>
      </c>
      <c r="P188" t="b">
        <v>1</v>
      </c>
      <c r="Q188" t="b">
        <v>0</v>
      </c>
      <c r="R188" t="b">
        <v>1</v>
      </c>
      <c r="S188" t="b">
        <v>1</v>
      </c>
      <c r="T188" t="b">
        <v>0</v>
      </c>
      <c r="U188" t="b">
        <v>1</v>
      </c>
      <c r="V188" t="b">
        <v>0</v>
      </c>
      <c r="W188" t="b">
        <v>1</v>
      </c>
      <c r="X188" t="b">
        <v>1</v>
      </c>
      <c r="Y18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PROCEDURE | Y | N | Y | Y | N | N | Y | Y | N | N | N | Y | N | Y | Y | N | Y | Y | N | Y | N | Y | Y |</v>
      </c>
    </row>
    <row r="189" spans="1:25">
      <c r="A189" t="s">
        <v>281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1</v>
      </c>
      <c r="Y18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PROFILE | N | N | N | N | N | N | N | N | N | N | N | N | N | Y | N | N | N | N | N | N | N | Y | Y |</v>
      </c>
    </row>
    <row r="190" spans="1:25">
      <c r="A190" t="s">
        <v>319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1</v>
      </c>
      <c r="Y19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PROJECTION | N | N | N | N | N | N | N | N | N | N | N | N | N | N | N | N | N | N | N | N | N | N | Y |</v>
      </c>
    </row>
    <row r="191" spans="1:25">
      <c r="A191" t="s">
        <v>159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PROJECTION POLICY | N | N | N | N | N | N | N | N | N | N | N | N | N | N | N | N | N | Y | N | N | N | N | N |</v>
      </c>
    </row>
    <row r="192" spans="1:25">
      <c r="A192" t="s">
        <v>245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PROJECTION VIEW | N | N | N | N | N | N | N | Y | N | N | N | N | N | N | N | N | N | N | N | N | N | N | N |</v>
      </c>
    </row>
    <row r="193" spans="1:25">
      <c r="A193" t="s">
        <v>236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PROTOCOL | N | N | N | N | N | N | Y | N | N | N | N | N | N | N | N | N | N | N | N | N | N | N | N |</v>
      </c>
    </row>
    <row r="194" spans="1:25">
      <c r="A194" t="s">
        <v>125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PROVISIONED THROUGHPUT | N | N | N | N | N | N | N | N | N | N | N | N | N | N | N | N | N | Y | N | N | N | N | N |</v>
      </c>
    </row>
    <row r="195" spans="1:25">
      <c r="A195" t="s">
        <v>246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PSE | N | N | N | N | N | N | N | Y | N | N | N | N | N | N | N | N | N | N | N | N | N | N | N |</v>
      </c>
    </row>
    <row r="196" spans="1:25">
      <c r="A196" t="s">
        <v>247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PUBLIC KEY | N | N | N | N | N | N | N | Y | N | N | N | N | N | N | N | N | N | N | N | N | N | N | N |</v>
      </c>
    </row>
    <row r="197" spans="1:25">
      <c r="A197" t="s">
        <v>87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PUBLICATION | N | N | N | N | N | N | N | N | N | N | N | N | N | N | Y | N | N | N | N | N | N | N | N |</v>
      </c>
    </row>
    <row r="198" spans="1:25">
      <c r="A198" t="s">
        <v>41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b">
        <v>0</v>
      </c>
      <c r="W198" t="b">
        <v>0</v>
      </c>
      <c r="X198" t="b">
        <v>0</v>
      </c>
      <c r="Y19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QUEUE | N | N | N | N | N | N | N | N | N | N | N | N | N | N | N | N | N | N | N | Y | N | N | N |</v>
      </c>
    </row>
    <row r="199" spans="1:25">
      <c r="A199" t="s">
        <v>226</v>
      </c>
      <c r="B199" t="b">
        <v>0</v>
      </c>
      <c r="C199" t="b">
        <v>1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QUOTA | N | Y | N | N | N | N | N | N | N | N | N | N | N | N | N | N | N | N | N | N | N | N | N |</v>
      </c>
    </row>
    <row r="200" spans="1:25">
      <c r="A200" t="s">
        <v>232</v>
      </c>
      <c r="B200" t="b">
        <v>0</v>
      </c>
      <c r="C200" t="b">
        <v>0</v>
      </c>
      <c r="D200" t="b">
        <v>1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RECIPIENT | N | N | Y | N | N | N | N | N | N | N | N | N | N | N | N | N | N | N | N | N | N | N | N |</v>
      </c>
    </row>
    <row r="201" spans="1:25">
      <c r="A201" t="s">
        <v>301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0</v>
      </c>
      <c r="Y20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RECURSIVE VIEW | N | N | N | N | N | N | N | N | N | N | N | N | N | N | N | N | N | N | N | N | N | Y | N |</v>
      </c>
    </row>
    <row r="202" spans="1:25">
      <c r="A202" t="s">
        <v>42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b">
        <v>0</v>
      </c>
      <c r="Y20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REMOTE SERVICE BINDING | N | N | N | N | N | N | N | N | N | N | N | N | N | N | N | N | N | N | N | Y | N | N | N |</v>
      </c>
    </row>
    <row r="203" spans="1:25">
      <c r="A203" t="s">
        <v>248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REMOTE SOURCE | N | N | N | N | N | N | N | Y | N | N | N | N | N | N | N | N | N | N | N | N | N | N | N |</v>
      </c>
    </row>
    <row r="204" spans="1:25">
      <c r="A204" t="s">
        <v>126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REPLICATION GROUP | N | N | N | N | N | N | N | N | N | N | N | N | N | N | N | N | N | Y | N | N | N | N | N |</v>
      </c>
    </row>
    <row r="205" spans="1:25">
      <c r="A205" t="s">
        <v>220</v>
      </c>
      <c r="B205" t="b">
        <v>1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RESERVATION | Y | N | N | N | N | N | N | N | N | N | N | N | N | N | N | N | N | N | N | N | N | N | N |</v>
      </c>
    </row>
    <row r="206" spans="1:25">
      <c r="A206" t="s">
        <v>237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RESOURCE GROUP | N | N | N | N | N | N | Y | N | N | N | N | N | N | N | N | N | N | N | N | N | N | N | N |</v>
      </c>
    </row>
    <row r="207" spans="1:25">
      <c r="A207" t="s">
        <v>127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RESOURCE MONITOR | N | N | N | N | N | N | N | N | N | N | N | N | N | N | N | N | N | Y | N | N | N | N | N |</v>
      </c>
    </row>
    <row r="208" spans="1:25">
      <c r="A208" t="s">
        <v>43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1</v>
      </c>
      <c r="Y20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RESOURCE POOL | N | N | N | N | N | N | N | N | N | N | N | N | N | N | N | N | N | N | N | Y | N | N | Y |</v>
      </c>
    </row>
    <row r="209" spans="1:25">
      <c r="A209" t="s">
        <v>238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RESOURCE QUEUE | N | N | N | N | N | N | Y | N | N | N | N | N | N | N | N | N | N | N | N | N | N | N | N |</v>
      </c>
    </row>
    <row r="210" spans="1:25">
      <c r="A210" t="s">
        <v>282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RESTORE POINT | N | N | N | N | N | N | N | N | N | N | N | N | N | Y | N | N | N | N | N | N | N | N | N |</v>
      </c>
    </row>
    <row r="211" spans="1:25">
      <c r="A211" t="s">
        <v>291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RLSE POLICY | N | N | N | N | N | N | N | N | N | N | N | N | N | N | N | N | Y | N | N | N | N | N | N |</v>
      </c>
    </row>
    <row r="212" spans="1:25">
      <c r="A212" t="s">
        <v>44</v>
      </c>
      <c r="B212" t="b">
        <v>0</v>
      </c>
      <c r="C212" t="b">
        <v>1</v>
      </c>
      <c r="D212" t="b">
        <v>0</v>
      </c>
      <c r="E212" t="b">
        <v>1</v>
      </c>
      <c r="F212" t="b">
        <v>0</v>
      </c>
      <c r="G212" t="b">
        <v>0</v>
      </c>
      <c r="H212" t="b">
        <v>1</v>
      </c>
      <c r="I212" t="b">
        <v>1</v>
      </c>
      <c r="J212" t="b">
        <v>1</v>
      </c>
      <c r="K212" t="b">
        <v>1</v>
      </c>
      <c r="L212" t="b">
        <v>0</v>
      </c>
      <c r="M212" t="b">
        <v>1</v>
      </c>
      <c r="N212" t="b">
        <v>0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b">
        <v>0</v>
      </c>
      <c r="U212" t="b">
        <v>1</v>
      </c>
      <c r="V212" t="b">
        <v>0</v>
      </c>
      <c r="W212" t="b">
        <v>1</v>
      </c>
      <c r="X212" t="b">
        <v>1</v>
      </c>
      <c r="Y21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ROLE | N | Y | N | Y | N | N | Y | Y | Y | Y | N | Y | N | Y | Y | Y | Y | Y | N | Y | N | Y | Y |</v>
      </c>
    </row>
    <row r="213" spans="1:25">
      <c r="A213" t="s">
        <v>283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1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ROLLBACK SEGMENT | N | N | N | N | N | N | N | N | N | N | N | N | N | Y | N | N | N | N | N | N | N | N | N |</v>
      </c>
    </row>
    <row r="214" spans="1:25">
      <c r="A214" t="s">
        <v>45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ROUTE | N | N | N | N | N | N | N | N | N | N | N | N | N | N | N | N | N | N | N | Y | N | N | N |</v>
      </c>
    </row>
    <row r="215" spans="1:25">
      <c r="A215" t="s">
        <v>320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1</v>
      </c>
      <c r="Y21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ROUTING RULE | N | N | N | N | N | N | N | N | N | N | N | N | N | N | N | N | N | N | N | N | N | N | Y |</v>
      </c>
    </row>
    <row r="216" spans="1:25">
      <c r="A216" t="s">
        <v>160</v>
      </c>
      <c r="B216" t="b">
        <v>1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ROW ACCESS POLCIY | Y | N | N | N | N | N | N | N | N | N | N | N | N | N | N | N | N | Y | N | N | N | N | N |</v>
      </c>
    </row>
    <row r="217" spans="1:25">
      <c r="A217" t="s">
        <v>225</v>
      </c>
      <c r="B217" t="b">
        <v>0</v>
      </c>
      <c r="C217" t="b">
        <v>1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ROW POLICY | N | Y | N | N | N | N | N | N | N | N | N | N | N | N | N | N | N | N | N | N | N | N | N |</v>
      </c>
    </row>
    <row r="218" spans="1:25">
      <c r="A218" t="s">
        <v>46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  <c r="W218" t="b">
        <v>0</v>
      </c>
      <c r="X218" t="b">
        <v>0</v>
      </c>
      <c r="Y21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RULE | N | N | N | N | N | N | Y | N | N | N | N | N | N | N | Y | N | N | N | N | Y | N | N | N |</v>
      </c>
    </row>
    <row r="219" spans="1:25">
      <c r="A219" t="s">
        <v>249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SAML PROVIDER | N | N | N | N | N | N | N | Y | N | N | N | N | N | N | N | N | N | N | N | N | N | N | N |</v>
      </c>
    </row>
    <row r="220" spans="1:25">
      <c r="A220" t="s">
        <v>321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1</v>
      </c>
      <c r="Y22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SCHEDULE | N | N | N | N | N | N | N | N | N | N | N | N | N | N | N | N | N | N | N | N | N | N | Y |</v>
      </c>
    </row>
    <row r="221" spans="1:25">
      <c r="A221" t="s">
        <v>250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SCHEDULER JOB | N | N | N | N | N | N | N | Y | N | N | N | N | N | N | N | N | N | N | N | N | N | N | N |</v>
      </c>
    </row>
    <row r="222" spans="1:25">
      <c r="A222" t="s">
        <v>47</v>
      </c>
      <c r="B222" t="b">
        <v>1</v>
      </c>
      <c r="C222" t="b">
        <v>0</v>
      </c>
      <c r="D222" t="b">
        <v>1</v>
      </c>
      <c r="E222" t="b">
        <v>1</v>
      </c>
      <c r="F222" t="b">
        <v>1</v>
      </c>
      <c r="G222" t="b">
        <v>0</v>
      </c>
      <c r="H222" t="b">
        <v>1</v>
      </c>
      <c r="I222" t="b">
        <v>1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0</v>
      </c>
      <c r="U222" t="b">
        <v>1</v>
      </c>
      <c r="V222" t="b">
        <v>0</v>
      </c>
      <c r="W222" t="b">
        <v>0</v>
      </c>
      <c r="X222" t="b">
        <v>1</v>
      </c>
      <c r="Y22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SCHEMA | Y | N | Y | Y | Y | N | Y | Y | Y | N | N | N | N | Y | Y | Y | Y | Y | N | Y | N | N | Y |</v>
      </c>
    </row>
    <row r="223" spans="1:25">
      <c r="A223" t="s">
        <v>251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SCHEMA SYNONYM | N | N | N | N | N | N | N | Y | N | N | N | N | N | N | N | N | N | N | N | N | N | N | N |</v>
      </c>
    </row>
    <row r="224" spans="1:25">
      <c r="A224" t="s">
        <v>222</v>
      </c>
      <c r="B224" t="b">
        <v>1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SEARCH INDEX | Y | N | N | N | N | N | N | N | N | N | N | N | N | N | N | N | N | N | N | N | N | N | N |</v>
      </c>
    </row>
    <row r="225" spans="1:25">
      <c r="A225" t="s">
        <v>48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SEARCH PROPERTY LIST | N | N | N | N | N | N | N | N | N | N | N | N | N | N | N | N | N | N | N | Y | N | N | N |</v>
      </c>
    </row>
    <row r="226" spans="1:25">
      <c r="A226" t="s">
        <v>101</v>
      </c>
      <c r="B226" t="b">
        <v>0</v>
      </c>
      <c r="C226" t="b">
        <v>0</v>
      </c>
      <c r="D226" t="b">
        <v>0</v>
      </c>
      <c r="E226" t="b">
        <v>0</v>
      </c>
      <c r="F226" t="b">
        <v>1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SECRET | N | N | N | N | Y | N | N | N | N | N | N | N | N | N | N | N | N | Y | N | N | N | N | N |</v>
      </c>
    </row>
    <row r="227" spans="1:25">
      <c r="A227" t="s">
        <v>128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SECURITY INTEGRATION | N | N | N | N | N | N | N | N | N | N | N | N | N | N | N | N | N | Y | N | N | N | N | N |</v>
      </c>
    </row>
    <row r="228" spans="1:25">
      <c r="A228" t="s">
        <v>184</v>
      </c>
      <c r="B228" t="b">
        <v>0</v>
      </c>
      <c r="C228" t="b">
        <v>0</v>
      </c>
      <c r="D228" t="b">
        <v>0</v>
      </c>
      <c r="E228" t="b">
        <v>1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SECURITY LABEL | N | N | N | Y | N | N | N | N | N | N | N | N | N | N | N | N | N | N | N | N | N | N | N |</v>
      </c>
    </row>
    <row r="229" spans="1:25">
      <c r="A229" t="s">
        <v>183</v>
      </c>
      <c r="B229" t="b">
        <v>0</v>
      </c>
      <c r="C229" t="b">
        <v>0</v>
      </c>
      <c r="D229" t="b">
        <v>0</v>
      </c>
      <c r="E229" t="b">
        <v>1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SECURITY LABEL COMPONENT | N | N | N | Y | N | N | N | N | N | N | N | N | N | N | N | N | N | N | N | N | N | N | N |</v>
      </c>
    </row>
    <row r="230" spans="1:25">
      <c r="A230" t="s">
        <v>49</v>
      </c>
      <c r="B230" t="b">
        <v>0</v>
      </c>
      <c r="C230" t="b">
        <v>0</v>
      </c>
      <c r="D230" t="b">
        <v>0</v>
      </c>
      <c r="E230" t="b">
        <v>1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b">
        <v>0</v>
      </c>
      <c r="Y23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SECURITY POLICY | N | N | N | Y | N | N | N | N | N | N | N | N | N | N | N | N | N | N | N | Y | N | N | N |</v>
      </c>
    </row>
    <row r="231" spans="1:25">
      <c r="A231" t="s">
        <v>50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SELECTIVE XML INDEX | N | N | N | N | N | N | N | N | N | N | N | N | N | N | N | N | N | N | N | Y | N | N | N |</v>
      </c>
    </row>
    <row r="232" spans="1:25">
      <c r="A232" t="s">
        <v>161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SEMANTIC VIEW | N | N | N | N | N | N | N | N | N | N | N | N | N | N | N | N | N | Y | N | N | N | N | N |</v>
      </c>
    </row>
    <row r="233" spans="1:25">
      <c r="A233" t="s">
        <v>51</v>
      </c>
      <c r="B233" t="b">
        <v>0</v>
      </c>
      <c r="C233" t="b">
        <v>0</v>
      </c>
      <c r="D233" t="b">
        <v>0</v>
      </c>
      <c r="E233" t="b">
        <v>1</v>
      </c>
      <c r="F233" t="b">
        <v>1</v>
      </c>
      <c r="G233" t="b">
        <v>0</v>
      </c>
      <c r="H233" t="b">
        <v>1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1</v>
      </c>
      <c r="V233" t="b">
        <v>0</v>
      </c>
      <c r="W233" t="b">
        <v>0</v>
      </c>
      <c r="X233" t="b">
        <v>1</v>
      </c>
      <c r="Y23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SEQUENCE | N | N | N | Y | Y | N | Y | Y | N | N | N | N | N | Y | N | N | N | Y | N | Y | N | N | Y |</v>
      </c>
    </row>
    <row r="234" spans="1:25">
      <c r="A234" t="s">
        <v>100</v>
      </c>
      <c r="B234" t="b">
        <v>0</v>
      </c>
      <c r="C234" t="b">
        <v>0</v>
      </c>
      <c r="D234" t="b">
        <v>1</v>
      </c>
      <c r="E234" t="b">
        <v>1</v>
      </c>
      <c r="F234" t="b">
        <v>0</v>
      </c>
      <c r="G234" t="b">
        <v>0</v>
      </c>
      <c r="H234" t="b">
        <v>1</v>
      </c>
      <c r="I234" t="b">
        <v>0</v>
      </c>
      <c r="J234" t="b">
        <v>0</v>
      </c>
      <c r="K234" t="b">
        <v>0</v>
      </c>
      <c r="L234" t="b">
        <v>1</v>
      </c>
      <c r="M234" t="b">
        <v>1</v>
      </c>
      <c r="N234" t="b">
        <v>0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SERVER | N | N | Y | Y | N | N | Y | N | N | N | Y | Y | N | N | Y | N | N | N | N | N | N | N | N |</v>
      </c>
    </row>
    <row r="235" spans="1:25">
      <c r="A235" t="s">
        <v>52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  <c r="X235" t="b">
        <v>0</v>
      </c>
      <c r="Y23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SERVER AUDIT | N | N | N | N | N | N | N | N | N | N | N | N | N | N | N | N | N | N | N | Y | N | N | N |</v>
      </c>
    </row>
    <row r="236" spans="1:25">
      <c r="A236" t="s">
        <v>53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SERVER AUDIT SPECIFICATION | N | N | N | N | N | N | N | N | N | N | N | N | N | N | N | N | N | N | N | Y | N | N | N |</v>
      </c>
    </row>
    <row r="237" spans="1:25">
      <c r="A237" t="s">
        <v>54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SERVER ROLE | N | N | N | N | N | N | N | N | N | N | N | N | N | N | N | N | N | N | N | Y | N | N | N |</v>
      </c>
    </row>
    <row r="238" spans="1:25">
      <c r="A238" t="s">
        <v>55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1</v>
      </c>
      <c r="V238" t="b">
        <v>0</v>
      </c>
      <c r="W238" t="b">
        <v>0</v>
      </c>
      <c r="X238" t="b">
        <v>0</v>
      </c>
      <c r="Y23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SERVICE | N | N | N | N | N | N | N | N | N | N | N | N | N | N | N | N | N | Y | N | Y | N | N | N |</v>
      </c>
    </row>
    <row r="239" spans="1:25">
      <c r="A239" t="s">
        <v>185</v>
      </c>
      <c r="B239" t="b">
        <v>0</v>
      </c>
      <c r="C239" t="b">
        <v>0</v>
      </c>
      <c r="D239" t="b">
        <v>0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SERVICE CLASS | N | N | N | Y | N | N | N | N | N | N | N | N | N | N | N | N | N | N | N | N | N | N | N |</v>
      </c>
    </row>
    <row r="240" spans="1:25">
      <c r="A240" t="s">
        <v>162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SESSION POLICY | N | N | N | N | N | N | N | N | N | N | N | N | N | N | N | N | N | Y | N | N | N | N | N |</v>
      </c>
    </row>
    <row r="241" spans="1:25">
      <c r="A241" t="s">
        <v>227</v>
      </c>
      <c r="B241" t="b">
        <v>0</v>
      </c>
      <c r="C241" t="b">
        <v>1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SETTINGS PROFILE | N | Y | N | N | N | N | N | N | N | N | N | N | N | N | N | N | N | N | N | N | N | N | N |</v>
      </c>
    </row>
    <row r="242" spans="1:25">
      <c r="A242" t="s">
        <v>129</v>
      </c>
      <c r="B242" t="b">
        <v>0</v>
      </c>
      <c r="C242" t="b">
        <v>0</v>
      </c>
      <c r="D242" t="b">
        <v>1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SHARE | N | N | Y | N | N | N | N | N | N | N | N | N | N | N | N | N | N | Y | N | N | N | N | N |</v>
      </c>
    </row>
    <row r="243" spans="1:25">
      <c r="A243" t="s">
        <v>163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SNAPSHOT | N | N | N | N | N | N | N | N | N | N | N | N | N | N | N | N | N | Y | N | N | N | N | N |</v>
      </c>
    </row>
    <row r="244" spans="1:25">
      <c r="A244" t="s">
        <v>215</v>
      </c>
      <c r="B244" t="b">
        <v>1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SNAPSHOT TABLE | Y | N | N | N | N | N | N | N | N | N | N | N | N | N | N | N | N | N | N | N | N | N | N |</v>
      </c>
    </row>
    <row r="245" spans="1:25">
      <c r="A245" t="s">
        <v>56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  <c r="X245" t="b">
        <v>0</v>
      </c>
      <c r="Y24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SPATIAL INDEX | N | N | N | N | N | N | N | N | N | N | N | N | N | N | N | N | N | N | N | Y | N | N | N |</v>
      </c>
    </row>
    <row r="246" spans="1:25">
      <c r="A246" t="s">
        <v>108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SPATIAL REFERENCE SYSTEM | N | N | N | N | N | N | N | N | N | N | N | Y | N | N | N | N | N | N | N | N | N | N | N |</v>
      </c>
    </row>
    <row r="247" spans="1:25">
      <c r="A247" t="s">
        <v>284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SPFILE | N | N | N | N | N | N | N | N | N | N | N | N | N | Y | N | N | N | N | N | N | N | N | N |</v>
      </c>
    </row>
    <row r="248" spans="1:25">
      <c r="A248" t="s">
        <v>164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STAGE | N | N | N | N | N | N | N | N | N | N | N | N | N | N | N | N | N | Y | N | N | N | N | N |</v>
      </c>
    </row>
    <row r="249" spans="1:25">
      <c r="A249" t="s">
        <v>57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1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0</v>
      </c>
      <c r="Y24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STATISTICS | N | N | N | N | N | N | Y | Y | N | N | N | N | N | N | N | N | N | N | N | Y | N | N | N |</v>
      </c>
    </row>
    <row r="250" spans="1:25">
      <c r="A250" t="s">
        <v>186</v>
      </c>
      <c r="B250" t="b">
        <v>0</v>
      </c>
      <c r="C250" t="b">
        <v>0</v>
      </c>
      <c r="D250" t="b">
        <v>0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STOGROUP | N | N | N | Y | N | N | N | N | N | N | N | N | N | N | N | N | N | N | N | N | N | N | N |</v>
      </c>
    </row>
    <row r="251" spans="1:25">
      <c r="A251" t="s">
        <v>130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STORAGE INTEGRATION | N | N | N | N | N | N | N | N | N | N | N | N | N | N | N | N | N | Y | N | N | N | N | N |</v>
      </c>
    </row>
    <row r="252" spans="1:25">
      <c r="A252" t="s">
        <v>165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STREAM | N | N | N | N | N | N | N | N | N | N | N | N | N | N | N | N | N | Y | N | N | N | N | N |</v>
      </c>
    </row>
    <row r="253" spans="1:25">
      <c r="A253" t="s">
        <v>233</v>
      </c>
      <c r="B253" t="b">
        <v>0</v>
      </c>
      <c r="C253" t="b">
        <v>0</v>
      </c>
      <c r="D253" t="b">
        <v>1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STREAMING TABLE | N | N | Y | N | N | N | N | N | N | N | N | N | N | N | N | N | N | N | N | N | N | N | N |</v>
      </c>
    </row>
    <row r="254" spans="1:25">
      <c r="A254" t="s">
        <v>166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STREAMLIT | N | N | N | N | N | N | N | N | N | N | N | N | N | N | N | N | N | Y | N | N | N | N | N |</v>
      </c>
    </row>
    <row r="255" spans="1:25">
      <c r="A255" t="s">
        <v>252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STRUCTURED PRIVILEGE | N | N | N | N | N | N | N | Y | N | N | N | N | N | N | N | N | N | N | N | N | N | N | N |</v>
      </c>
    </row>
    <row r="256" spans="1:25">
      <c r="A256" t="s">
        <v>322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1</v>
      </c>
      <c r="Y25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SUBNET | N | N | N | N | N | N | N | N | N | N | N | N | N | N | N | N | N | N | N | N | N | N | Y |</v>
      </c>
    </row>
    <row r="257" spans="1:25">
      <c r="A257" t="s">
        <v>88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SUBSCRIPTION | N | N | N | N | N | N | N | N | N | N | N | N | N | N | Y | N | N | N | N | N | N | N | N |</v>
      </c>
    </row>
    <row r="258" spans="1:25">
      <c r="A258" t="s">
        <v>58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SYMMETRIC KEY | N | N | N | N | N | N | N | N | N | N | N | N | N | N | N | N | N | N | N | Y | N | N | N |</v>
      </c>
    </row>
    <row r="259" spans="1:25">
      <c r="A259" t="s">
        <v>59</v>
      </c>
      <c r="B259" t="b">
        <v>0</v>
      </c>
      <c r="C259" t="b">
        <v>0</v>
      </c>
      <c r="D259" t="b">
        <v>0</v>
      </c>
      <c r="E259" t="b">
        <v>1</v>
      </c>
      <c r="F259" t="b">
        <v>0</v>
      </c>
      <c r="G259" t="b">
        <v>0</v>
      </c>
      <c r="H259" t="b">
        <v>0</v>
      </c>
      <c r="I259" t="b">
        <v>1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b">
        <v>0</v>
      </c>
      <c r="Y25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SYNONYM | N | N | N | Y | N | N | N | Y | N | N | N | N | N | Y | N | N | N | N | N | Y | N | N | N |</v>
      </c>
    </row>
    <row r="260" spans="1:25">
      <c r="A260" t="s">
        <v>60</v>
      </c>
      <c r="B260" t="b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0</v>
      </c>
      <c r="O260" t="b">
        <v>1</v>
      </c>
      <c r="P260" t="b">
        <v>1</v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0</v>
      </c>
      <c r="W260" t="b">
        <v>1</v>
      </c>
      <c r="X260" t="b">
        <v>1</v>
      </c>
      <c r="Y26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TABLE | Y | Y | Y | Y | Y | Y | Y | Y | Y | Y | Y | Y | N | Y | Y | Y | Y | Y | Y | Y | N | Y | Y |</v>
      </c>
    </row>
    <row r="261" spans="1:25">
      <c r="A261" t="s">
        <v>89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1</v>
      </c>
      <c r="Q261" t="b">
        <v>1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b">
        <v>1</v>
      </c>
      <c r="X261" t="b">
        <v>0</v>
      </c>
      <c r="Y26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TABLE AS | N | N | N | N | N | N | Y | N | N | N | N | N | N | N | Y | Y | Y | N | N | N | N | Y | N |</v>
      </c>
    </row>
    <row r="262" spans="1:25">
      <c r="A262" t="s">
        <v>214</v>
      </c>
      <c r="B262" t="b">
        <v>1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TABLE COPY | Y | N | N | N | N | N | N | N | N | N | N | N | N | N | N | N | N | N | N | N | N | N | N |</v>
      </c>
    </row>
    <row r="263" spans="1:25">
      <c r="A263" t="s">
        <v>218</v>
      </c>
      <c r="B263" t="b">
        <v>1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TABLE FUNCTION | Y | N | N | N | N | N | N | N | N | N | N | N | N | N | N | N | N | N | N | N | N | N | N |</v>
      </c>
    </row>
    <row r="264" spans="1:25">
      <c r="A264" t="s">
        <v>213</v>
      </c>
      <c r="B264" t="b">
        <v>1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TABLE LIKE | Y | N | N | N | N | N | N | N | N | N | N | N | N | N | N | N | N | N | N | N | N | N | N |</v>
      </c>
    </row>
    <row r="265" spans="1:25">
      <c r="A265" t="s">
        <v>90</v>
      </c>
      <c r="B265" t="b">
        <v>0</v>
      </c>
      <c r="C265" t="b">
        <v>0</v>
      </c>
      <c r="D265" t="b">
        <v>0</v>
      </c>
      <c r="E265" t="b">
        <v>1</v>
      </c>
      <c r="F265" t="b">
        <v>0</v>
      </c>
      <c r="G265" t="b">
        <v>0</v>
      </c>
      <c r="H265" t="b">
        <v>1</v>
      </c>
      <c r="I265" t="b">
        <v>0</v>
      </c>
      <c r="J265" t="b">
        <v>0</v>
      </c>
      <c r="K265" t="b">
        <v>0</v>
      </c>
      <c r="L265" t="b">
        <v>1</v>
      </c>
      <c r="M265" t="b">
        <v>1</v>
      </c>
      <c r="N265" t="b">
        <v>0</v>
      </c>
      <c r="O265" t="b">
        <v>1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TABLESPACE | N | N | N | Y | N | N | Y | N | N | N | Y | Y | N | Y | Y | N | N | N | N | N | N | N | N |</v>
      </c>
    </row>
    <row r="266" spans="1:25">
      <c r="A266" t="s">
        <v>285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1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TABLESPACE SET | N | N | N | N | N | N | N | N | N | N | N | N | N | Y | N | N | N | N | N | N | N | N | N |</v>
      </c>
    </row>
    <row r="267" spans="1:25">
      <c r="A267" t="s">
        <v>167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TAG | N | N | N | N | N | N | N | N | N | N | N | N | N | N | N | N | N | Y | N | N | N | N | N |</v>
      </c>
    </row>
    <row r="268" spans="1:25">
      <c r="A268" t="s">
        <v>168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TASK | N | N | N | N | N | N | N | N | N | N | N | N | N | N | N | N | N | Y | N | N | N | N | N |</v>
      </c>
    </row>
    <row r="269" spans="1:25">
      <c r="A269" t="s">
        <v>323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1</v>
      </c>
      <c r="Y26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TEMPORARY TABLE | N | N | N | N | N | N | N | N | N | N | N | N | N | N | N | N | N | N | N | N | N | N | Y |</v>
      </c>
    </row>
    <row r="270" spans="1:25">
      <c r="A270" t="s">
        <v>324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TEXT INDEX | N | N | N | N | N | N | N | N | N | N | N | N | N | N | N | N | N | N | N | N | N | N | Y |</v>
      </c>
    </row>
    <row r="271" spans="1:25">
      <c r="A271" t="s">
        <v>91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TEXT SEARCH CONFIGURATION | N | N | N | N | N | N | Y | N | N | N | N | N | N | N | Y | N | N | N | N | N | N | N | N |</v>
      </c>
    </row>
    <row r="272" spans="1:25">
      <c r="A272" t="s">
        <v>92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1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TEXT SEARCH DICTIONARY | N | N | N | N | N | N | Y | N | N | N | N | N | N | N | Y | N | N | N | N | N | N | N | N |</v>
      </c>
    </row>
    <row r="273" spans="1:25">
      <c r="A273" t="s">
        <v>93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1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TEXT SEARCH PARSER | N | N | N | N | N | N | Y | N | N | N | N | N | N | N | Y | N | N | N | N | N | N | N | N |</v>
      </c>
    </row>
    <row r="274" spans="1:25">
      <c r="A274" t="s">
        <v>94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TEXT SEARCH TEMPLATE | N | N | N | N | N | N | Y | N | N | N | N | N | N | N | Y | N | N | N | N | N | N | N | N |</v>
      </c>
    </row>
    <row r="275" spans="1:25">
      <c r="A275" t="s">
        <v>187</v>
      </c>
      <c r="B275" t="b">
        <v>0</v>
      </c>
      <c r="C275" t="b">
        <v>0</v>
      </c>
      <c r="D275" t="b">
        <v>0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THRESHOLD | N | N | N | Y | N | N | N | N | N | N | N | N | N | N | N | N | N | N | N | N | N | N | N |</v>
      </c>
    </row>
    <row r="276" spans="1:25">
      <c r="A276" t="s">
        <v>325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TLS CONFIGURATION | N | N | N | N | N | N | N | N | N | N | N | N | N | N | N | N | N | N | N | N | N | N | Y |</v>
      </c>
    </row>
    <row r="277" spans="1:25">
      <c r="A277" t="s">
        <v>95</v>
      </c>
      <c r="B277" t="b">
        <v>0</v>
      </c>
      <c r="C277" t="b">
        <v>0</v>
      </c>
      <c r="D277" t="b">
        <v>0</v>
      </c>
      <c r="E277" t="b">
        <v>1</v>
      </c>
      <c r="F277" t="b">
        <v>0</v>
      </c>
      <c r="G277" t="b">
        <v>0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TRANSFORM | N | N | N | Y | N | N | Y | N | N | N | N | N | N | N | N | N | N | N | N | Y | N | N | N |</v>
      </c>
    </row>
    <row r="278" spans="1:25">
      <c r="A278" t="s">
        <v>61</v>
      </c>
      <c r="B278" t="b">
        <v>0</v>
      </c>
      <c r="C278" t="b">
        <v>0</v>
      </c>
      <c r="D278" t="b">
        <v>0</v>
      </c>
      <c r="E278" t="b">
        <v>1</v>
      </c>
      <c r="F278" t="b">
        <v>0</v>
      </c>
      <c r="G278" t="b">
        <v>0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1</v>
      </c>
      <c r="N278" t="b">
        <v>0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b">
        <v>1</v>
      </c>
      <c r="U278" t="b">
        <v>1</v>
      </c>
      <c r="V278" t="b">
        <v>0</v>
      </c>
      <c r="W278" t="b">
        <v>1</v>
      </c>
      <c r="X278" t="b">
        <v>1</v>
      </c>
      <c r="Y27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TRIGGER | N | N | N | Y | N | N | N | Y | N | N | N | Y | N | Y | N | N | N | N | Y | Y | N | Y | Y |</v>
      </c>
    </row>
    <row r="279" spans="1:25">
      <c r="A279" t="s">
        <v>188</v>
      </c>
      <c r="B279" t="b">
        <v>0</v>
      </c>
      <c r="C279" t="b">
        <v>0</v>
      </c>
      <c r="D279" t="b">
        <v>0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TRUSTED CONTEXT | N | N | N | Y | N | N | N | N | N | N | N | N | N | N | N | N | N | N | N | N | N | N | N |</v>
      </c>
    </row>
    <row r="280" spans="1:25">
      <c r="A280" t="s">
        <v>62</v>
      </c>
      <c r="B280" t="b">
        <v>0</v>
      </c>
      <c r="C280" t="b">
        <v>0</v>
      </c>
      <c r="D280" t="b">
        <v>0</v>
      </c>
      <c r="E280" t="b">
        <v>1</v>
      </c>
      <c r="F280" t="b">
        <v>1</v>
      </c>
      <c r="G280" t="b">
        <v>0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1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TYPE | N | N | N | Y | Y | N | Y | Y | N | N | N | N | N | Y | Y | N | N | N | N | Y | N | N | N |</v>
      </c>
    </row>
    <row r="281" spans="1:25">
      <c r="A281" t="s">
        <v>286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1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TYPE BODY | N | N | N | N | N | N | N | N | N | N | N | N | N | Y | N | N | N | N | N | N | N | N | N |</v>
      </c>
    </row>
    <row r="282" spans="1:25">
      <c r="A282" t="s">
        <v>189</v>
      </c>
      <c r="B282" t="b">
        <v>0</v>
      </c>
      <c r="C282" t="b">
        <v>0</v>
      </c>
      <c r="D282" t="b">
        <v>0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USAGE LIST | N | N | N | Y | N | N | N | N | N | N | N | N | N | N | N | N | N | N | N | N | N | N | N |</v>
      </c>
    </row>
    <row r="283" spans="1:25">
      <c r="A283" t="s">
        <v>63</v>
      </c>
      <c r="B283" t="b">
        <v>0</v>
      </c>
      <c r="C283" t="b">
        <v>1</v>
      </c>
      <c r="D283" t="b">
        <v>0</v>
      </c>
      <c r="E283" t="b">
        <v>0</v>
      </c>
      <c r="F283" t="b">
        <v>0</v>
      </c>
      <c r="G283" t="b">
        <v>0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0</v>
      </c>
      <c r="O283" t="b">
        <v>1</v>
      </c>
      <c r="P283" t="b">
        <v>1</v>
      </c>
      <c r="Q283" t="b">
        <v>0</v>
      </c>
      <c r="R283" t="b">
        <v>1</v>
      </c>
      <c r="S283" t="b">
        <v>1</v>
      </c>
      <c r="T283" t="b">
        <v>0</v>
      </c>
      <c r="U283" t="b">
        <v>1</v>
      </c>
      <c r="V283" t="b">
        <v>0</v>
      </c>
      <c r="W283" t="b">
        <v>1</v>
      </c>
      <c r="X283" t="b">
        <v>1</v>
      </c>
      <c r="Y28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USER | N | Y | N | N | N | N | Y | Y | N | N | N | Y | N | Y | Y | N | Y | Y | N | Y | N | Y | Y |</v>
      </c>
    </row>
    <row r="284" spans="1:25">
      <c r="A284" t="s">
        <v>96</v>
      </c>
      <c r="B284" t="b">
        <v>0</v>
      </c>
      <c r="C284" t="b">
        <v>0</v>
      </c>
      <c r="D284" t="b">
        <v>0</v>
      </c>
      <c r="E284" t="b">
        <v>1</v>
      </c>
      <c r="F284" t="b">
        <v>0</v>
      </c>
      <c r="G284" t="b">
        <v>0</v>
      </c>
      <c r="H284" t="b">
        <v>1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USER MAPPING | N | N | N | Y | N | N | Y | N | N | N | N | N | N | N | Y | N | N | N | N | N | N | N | N |</v>
      </c>
    </row>
    <row r="285" spans="1:25">
      <c r="A285" t="s">
        <v>253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USERGROUP | N | N | N | N | N | N | N | Y | N | N | N | N | N | N | N | N | N | N | N | N | N | N | N |</v>
      </c>
    </row>
    <row r="286" spans="1:25">
      <c r="A286" t="s">
        <v>190</v>
      </c>
      <c r="B286" t="b">
        <v>0</v>
      </c>
      <c r="C286" t="b">
        <v>0</v>
      </c>
      <c r="D286" t="b">
        <v>0</v>
      </c>
      <c r="E286" t="b">
        <v>1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VARIABLE | N | N | N | Y | N | N | N | N | N | N | N | N | N | N | N | N | N | N | N | N | N | N | N |</v>
      </c>
    </row>
    <row r="287" spans="1:25">
      <c r="A287" t="s">
        <v>223</v>
      </c>
      <c r="B287" t="b">
        <v>1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VECTOR INDEX | Y | N | N | N | N | N | N | N | N | N | N | N | N | N | N | N | N | N | N | N | N | N | N |</v>
      </c>
    </row>
    <row r="288" spans="1:25">
      <c r="A288" t="s">
        <v>64</v>
      </c>
      <c r="B288" t="b">
        <v>1</v>
      </c>
      <c r="C288" t="b">
        <v>1</v>
      </c>
      <c r="D288" t="b">
        <v>1</v>
      </c>
      <c r="E288" t="b">
        <v>1</v>
      </c>
      <c r="F288" t="b">
        <v>1</v>
      </c>
      <c r="G288" t="b">
        <v>0</v>
      </c>
      <c r="H288" t="b">
        <v>1</v>
      </c>
      <c r="I288" t="b">
        <v>1</v>
      </c>
      <c r="J288" t="b">
        <v>1</v>
      </c>
      <c r="K288" t="b">
        <v>1</v>
      </c>
      <c r="L288" t="b">
        <v>0</v>
      </c>
      <c r="M288" t="b">
        <v>1</v>
      </c>
      <c r="N288" t="b">
        <v>0</v>
      </c>
      <c r="O288" t="b">
        <v>1</v>
      </c>
      <c r="P288" t="b">
        <v>1</v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0</v>
      </c>
      <c r="W288" t="b">
        <v>1</v>
      </c>
      <c r="X288" t="b">
        <v>1</v>
      </c>
      <c r="Y28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VIEW | Y | Y | Y | Y | Y | N | Y | Y | Y | Y | N | Y | N | Y | Y | Y | Y | Y | Y | Y | N | Y | Y |</v>
      </c>
    </row>
    <row r="289" spans="1:25">
      <c r="A289" t="s">
        <v>254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1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VIRTUAL FUNCTION | N | N | N | N | N | N | N | Y | N | N | N | N | N | N | N | N | N | N | N | N | N | N | N |</v>
      </c>
    </row>
    <row r="290" spans="1:25">
      <c r="A290" t="s">
        <v>255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1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VIRTUAL PROCEDURE | N | N | N | N | N | N | N | Y | N | N | N | N | N | N | N | N | N | N | N | N | N | N | N |</v>
      </c>
    </row>
    <row r="291" spans="1:25">
      <c r="A291" t="s">
        <v>196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VIRTUAL TABLE | N | N | N | N | N | N | N | Y | N | N | N | N | N | N | N | N | N | N | Y | N | N | N | N |</v>
      </c>
    </row>
    <row r="292" spans="1:25">
      <c r="A292" t="s">
        <v>234</v>
      </c>
      <c r="B292" t="b">
        <v>0</v>
      </c>
      <c r="C292" t="b">
        <v>0</v>
      </c>
      <c r="D292" t="b">
        <v>1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VOLUME | N | N | Y | N | N | N | N | N | N | N | N | N | N | N | N | N | N | N | N | N | N | N | N |</v>
      </c>
    </row>
    <row r="293" spans="1:25">
      <c r="A293" t="s">
        <v>131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WAREHOUSE | N | N | N | N | N | N | N | N | N | N | N | N | N | N | N | N | N | Y | N | N | N | N | N |</v>
      </c>
    </row>
    <row r="294" spans="1:25">
      <c r="A294" t="s">
        <v>191</v>
      </c>
      <c r="B294" t="b">
        <v>0</v>
      </c>
      <c r="C294" t="b">
        <v>0</v>
      </c>
      <c r="D294" t="b">
        <v>0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WORK ACTION SET | N | N | N | Y | N | N | N | N | N | N | N | N | N | N | N | N | N | N | N | N | N | N | N |</v>
      </c>
    </row>
    <row r="295" spans="1:25">
      <c r="A295" t="s">
        <v>192</v>
      </c>
      <c r="B295" t="b">
        <v>0</v>
      </c>
      <c r="C295" t="b">
        <v>0</v>
      </c>
      <c r="D295" t="b">
        <v>0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WORK CLASS SET | N | N | N | Y | N | N | N | N | N | N | N | N | N | N | N | N | N | N | N | N | N | N | N |</v>
      </c>
    </row>
    <row r="296" spans="1:25">
      <c r="A296" t="s">
        <v>193</v>
      </c>
      <c r="B296" t="b">
        <v>0</v>
      </c>
      <c r="C296" t="b">
        <v>0</v>
      </c>
      <c r="D296" t="b">
        <v>0</v>
      </c>
      <c r="E296" t="b">
        <v>1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WORKLOAD | N | N | N | Y | N | N | N | N | N | N | N | N | N | N | N | N | N | N | N | N | N | N | N |</v>
      </c>
    </row>
    <row r="297" spans="1:25">
      <c r="A297" t="s">
        <v>65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WORKLOAD GROUP | N | N | N | N | N | N | N | N | N | N | N | N | N | N | N | N | N | N | N | Y | N | N | N |</v>
      </c>
    </row>
    <row r="298" spans="1:25">
      <c r="A298" t="s">
        <v>194</v>
      </c>
      <c r="B298" t="b">
        <v>0</v>
      </c>
      <c r="C298" t="b">
        <v>0</v>
      </c>
      <c r="D298" t="b">
        <v>0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WRAPPER | N | N | N | Y | N | N | N | N | N | N | N | N | N | N | N | N | N | N | N | N | N | N | N |</v>
      </c>
    </row>
    <row r="299" spans="1:25">
      <c r="A299" t="s">
        <v>256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X509 PROVIDER | N | N | N | N | N | N | N | Y | N | N | N | N | N | N | N | N | N | N | N | N | N | N | N |</v>
      </c>
    </row>
    <row r="300" spans="1:25">
      <c r="A300" t="s">
        <v>66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XML INDEX | N | N | N | N | N | N | N | N | N | N | N | N | N | N | N | N | N | N | N | Y | N | N | N |</v>
      </c>
    </row>
    <row r="301" spans="1:25">
      <c r="A301" t="s">
        <v>67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  <c r="X301" t="b">
        <v>0</v>
      </c>
      <c r="Y301" t="str">
        <f>"| " &amp; Table1[[#This Row],[Object]] &amp;
" | " &amp; IF(Table1[[#This Row],[BigQuery]], "Y", "N") &amp;
" | " &amp; IF(Table1[[#This Row],[ClickHouse]], "Y", "N") &amp;
" | " &amp; IF(Table1[[#This Row],[Databricks]], "Y", "N") &amp;
" | " &amp; IF(Table1[[#This Row],[Db2]], "Y", "N") &amp;
" | " &amp; IF(Table1[[#This Row],[DuckDB]], "Y", "N") &amp;
" | " &amp; IF(Table1[[#This Row],[Flink]], "Y", "N") &amp;
" | " &amp; IF(Table1[[#This Row],[Greenplum]], "Y", "N") &amp;
" | " &amp; IF(Table1[[#This Row],[Hana]], "Y", "N") &amp;
" | " &amp; IF(Table1[[#This Row],[Hive]], "Y", "N") &amp;
" | " &amp; IF(Table1[[#This Row],[Impala]], "Y", "N") &amp;
" | " &amp; IF(Table1[[#This Row],[MariaDB]], "Y", "N") &amp;
" | " &amp; IF(Table1[[#This Row],[MySql]], "Y", "N") &amp;
" | " &amp; IF(Table1[[#This Row],[Netezza]], "Y", "N") &amp;
" | " &amp; IF(Table1[[#This Row],[Oracle]], "Y", "N") &amp;
" | " &amp; IF(Table1[[#This Row],[PostgreSQL]], "Y", "N") &amp;
" | " &amp; IF(Table1[[#This Row],[Presto]], "Y", "N") &amp;
" | " &amp; IF(Table1[[#This Row],[Redshift]], "Y", "N") &amp;
" | " &amp; IF(Table1[[#This Row],[Snowflake]], "Y", "N") &amp;
" | " &amp; IF(Table1[[#This Row],[SQLite]], "Y", "N") &amp;
" | " &amp; IF(Table1[[#This Row],[SqlServer]], "Y", "N") &amp;
" | " &amp; IF(Table1[[#This Row],[Synapse Analytics]], "Y", "N") &amp;
" | " &amp; IF(Table1[[#This Row],[Teradata]], "Y", "N") &amp;
" | " &amp; IF(Table1[[#This Row],[Vertica]], "Y", "N") &amp;
" |"</f>
        <v>| XML SCHEMA COLLECTION | N | N | N | N | N | N | N | N | N | N | N | N | N | N | N | N | N | N | N | Y | N | N | N |</v>
      </c>
    </row>
    <row r="302" spans="1:25">
      <c r="A302" t="s">
        <v>326</v>
      </c>
      <c r="B302">
        <f>COUNTIF(Table1[BigQuery], TRUE)</f>
        <v>19</v>
      </c>
      <c r="C302">
        <f>COUNTIF(Table1[ClickHouse], TRUE)</f>
        <v>11</v>
      </c>
      <c r="D302">
        <f>COUNTIF(Table1[Databricks], TRUE)</f>
        <v>16</v>
      </c>
      <c r="E302">
        <f>COUNTIF(Table1[Db2], TRUE)</f>
        <v>42</v>
      </c>
      <c r="F302">
        <f>COUNTIF(Table1[DuckDB], TRUE)</f>
        <v>8</v>
      </c>
      <c r="G302">
        <f>COUNTIF(Table1[Flink], TRUE)</f>
        <v>2</v>
      </c>
      <c r="H302">
        <f>COUNTIF(Table1[Greenplum], TRUE)</f>
        <v>42</v>
      </c>
      <c r="I302">
        <f>COUNTIF(Table1[Hana], TRUE)</f>
        <v>38</v>
      </c>
      <c r="J302">
        <f>COUNTIF(Table1[Hive], TRUE)</f>
        <v>10</v>
      </c>
      <c r="K302">
        <f>COUNTIF(Table1[Impala], TRUE)</f>
        <v>5</v>
      </c>
      <c r="L302">
        <f>COUNTIF(Table1[MariaDB], TRUE)</f>
        <v>10</v>
      </c>
      <c r="M302">
        <f>COUNTIF(Table1[MySql], TRUE)</f>
        <v>16</v>
      </c>
      <c r="N302">
        <f>COUNTIF(Table1[Netezza], TRUE)</f>
        <v>0</v>
      </c>
      <c r="O302">
        <f>COUNTIF(Table1[Oracle], TRUE)</f>
        <v>47</v>
      </c>
      <c r="P302">
        <f>COUNTIF(Table1[PostgreSQL], TRUE)</f>
        <v>37</v>
      </c>
      <c r="Q302">
        <f>COUNTIF(Table1[Presto], TRUE)</f>
        <v>6</v>
      </c>
      <c r="R302">
        <f>COUNTIF(Table1[Redshift], TRUE)</f>
        <v>22</v>
      </c>
      <c r="S302">
        <f>COUNTIF(Table1[Snowflake], TRUE)</f>
        <v>71</v>
      </c>
      <c r="T302">
        <f>COUNTIF(Table1[SQLite], TRUE)</f>
        <v>5</v>
      </c>
      <c r="U302">
        <f>COUNTIF(Table1[SqlServer], TRUE)</f>
        <v>69</v>
      </c>
      <c r="V302">
        <f>COUNTIF(Table1[Synapse Analytics], TRUE)</f>
        <v>0</v>
      </c>
      <c r="W302">
        <f>COUNTIF(Table1[Teradata], TRUE)</f>
        <v>24</v>
      </c>
      <c r="X302">
        <f>COUNTIF(Table1[Vertica], TRUE)</f>
        <v>38</v>
      </c>
      <c r="Y302">
        <f>SUBTOTAL(103,Table1[Format])</f>
        <v>300</v>
      </c>
    </row>
  </sheetData>
  <conditionalFormatting sqref="D2:D4 D6:D14 D16:D26 D28:D70 D72:D91 E161:X161 X162:X163 E199:X199 G200:X200 W201 D208:D223 E218:X218 D225:D245 E242:X242 X243 D288:D301">
    <cfRule type="cellIs" dxfId="83" priority="99" operator="equal">
      <formula>FALSE</formula>
    </cfRule>
    <cfRule type="cellIs" dxfId="82" priority="100" operator="equal">
      <formula>TRUE</formula>
    </cfRule>
  </conditionalFormatting>
  <conditionalFormatting sqref="D247:D265">
    <cfRule type="cellIs" dxfId="81" priority="85" operator="equal">
      <formula>FALSE</formula>
    </cfRule>
    <cfRule type="cellIs" dxfId="80" priority="86" operator="equal">
      <formula>TRUE</formula>
    </cfRule>
  </conditionalFormatting>
  <conditionalFormatting sqref="D267:D286">
    <cfRule type="cellIs" dxfId="79" priority="93" operator="equal">
      <formula>FALSE</formula>
    </cfRule>
    <cfRule type="cellIs" dxfId="78" priority="94" operator="equal">
      <formula>TRUE</formula>
    </cfRule>
  </conditionalFormatting>
  <conditionalFormatting sqref="E2:E4 F3 E6:E14 F9 E16:E26 F17 F19 F21 F23 F26 E28:E70 F29 F32:F34 F39 F42:F43 F45 F47 F52 F57 F61 F63 F67:F70 E72:E91 F73 F75 F90 E94:F94 E96:F97 E100:F100 E103:F105 E107:F107 E113:F113 E116:F118 E120:F121 E125:F125 E129:F132 E136:F137 E139:F139 E142:F145 E149:F149 E154:F155 F162:F163 E162:E198 F168 F175:F177 F183 F185 F189:F190 F192:F193 F195:F196 F200:F201 E200:E204 F203 E206:F206 E208:E217 F209:F211 F213 F215 F219:F221 E219:E223 F223 E225:E241 F243 E243:E245 E247:E264 F248 F254 F256 F261:F263 F269 F281 F285 E288:E301 F299">
    <cfRule type="cellIs" dxfId="77" priority="113" operator="equal">
      <formula>FALSE</formula>
    </cfRule>
    <cfRule type="cellIs" dxfId="76" priority="114" operator="equal">
      <formula>TRUE</formula>
    </cfRule>
  </conditionalFormatting>
  <conditionalFormatting sqref="E267:E286">
    <cfRule type="cellIs" dxfId="75" priority="91" operator="equal">
      <formula>FALSE</formula>
    </cfRule>
    <cfRule type="cellIs" dxfId="74" priority="92" operator="equal">
      <formula>TRUE</formula>
    </cfRule>
  </conditionalFormatting>
  <conditionalFormatting sqref="E265:X265">
    <cfRule type="cellIs" dxfId="73" priority="83" operator="equal">
      <formula>FALSE</formula>
    </cfRule>
    <cfRule type="cellIs" dxfId="72" priority="84" operator="equal">
      <formula>TRUE</formula>
    </cfRule>
  </conditionalFormatting>
  <conditionalFormatting sqref="F289:F293">
    <cfRule type="cellIs" dxfId="71" priority="111" operator="equal">
      <formula>FALSE</formula>
    </cfRule>
    <cfRule type="cellIs" dxfId="70" priority="112" operator="equal">
      <formula>TRUE</formula>
    </cfRule>
  </conditionalFormatting>
  <conditionalFormatting sqref="F2:V2 B2:C301 G3:W3 F4:V4 D5:X5 F6:V8 G9:V9 F10:V14 D15:X15 F16:V16 G17:V17 F18:V18 G19:W19 F20:V20 G21:V21 F22:V22 G23:X23 F24:V25 G26:W26 D27:X27 F28:V28 G29:X29 F30:V31 I32:X33 G32:H34 I34:W34 F35:V38 G39:V39 F40:V41 G42:V43 F44:V44 G45:V45 F46:V46 G47:V47 F48:V51 G52:W52 F53:V56 G57:V57 F58:V60 G61:V61 F62:V62 G63:V63 F64:V66 O67:V68 G67:N70 P69:P70 F72:V72 G73:V73 F74:V74 G75:V75 F76:V89 G90:V90 F91:V91 D92:X92 E93:V93 W93:X96 D93:D204 G94:W94 E95:V95 G96:V97 E98:V99 G100:W100 E101:V102 G103:V105 E106:V106 G107:X107 E108:V112 G113:X113 E114:V115 I116:V117 G116:H118 I118:X118 E119:V119 G120:V121 E122:V124 G125:V125 E126:V128 G129:V132 E133:V135 G136:X137 E138:V138 G139:X139 E140:V141 W142:W143 G142:V144 G145:W145 E146:V148 G149:V149 E150:V153 G154:V155 E156:V160 G162:W163 F164:V167 G168:W168 F169:V174 G175:V177 F178:V182 G183:V183 F184:V184 G185:V185 F186:V188 G189:W190 F191:X191 G192:X193 F194:V194 G195:X196 F197:V198 G201:V201 F202:V202 G203:X203 F204:V204 D205:X205 D206 G206:X206 D207:X207 F208:V208 G209:V211 F212:V212 G213:V213 F214:V214 G215:W215 F216:V217 G219:X221 F222:V222 G223:X223 D224:X224 F225:V241 G243:W243 F244:V245 D246:X246 F247:V247 G248:V248 F249:V253 G254:V254 F255:X255 G256:X256 F257:V260 G261:W263 F264:V264 D266:X266 F267:V268 G269:V269 F270:V280 G281:V281 F282:V284 G285:X285 F286:V286 D287:X287 F288:V288 G289:X290 G291:L292 N291:O292 Q291:R292 V291:V292 G293:X293 F294:V298 G299:X299 S300:U300 F300:R301 V300:V301 S301:V301">
    <cfRule type="cellIs" dxfId="69" priority="117" operator="equal">
      <formula>FALSE</formula>
    </cfRule>
    <cfRule type="cellIs" dxfId="68" priority="118" operator="equal">
      <formula>TRUE</formula>
    </cfRule>
  </conditionalFormatting>
  <conditionalFormatting sqref="M291:M292">
    <cfRule type="cellIs" dxfId="67" priority="109" operator="equal">
      <formula>FALSE</formula>
    </cfRule>
    <cfRule type="cellIs" dxfId="66" priority="110" operator="equal">
      <formula>TRUE</formula>
    </cfRule>
  </conditionalFormatting>
  <conditionalFormatting sqref="P291:P292">
    <cfRule type="cellIs" dxfId="65" priority="101" operator="equal">
      <formula>FALSE</formula>
    </cfRule>
    <cfRule type="cellIs" dxfId="64" priority="102" operator="equal">
      <formula>TRUE</formula>
    </cfRule>
  </conditionalFormatting>
  <conditionalFormatting sqref="Q70:Q71">
    <cfRule type="cellIs" dxfId="63" priority="73" operator="equal">
      <formula>FALSE</formula>
    </cfRule>
    <cfRule type="cellIs" dxfId="62" priority="74" operator="equal">
      <formula>TRUE</formula>
    </cfRule>
  </conditionalFormatting>
  <conditionalFormatting sqref="Q69:V69 O69:O70 D71:P71 S71:V71">
    <cfRule type="cellIs" dxfId="61" priority="81" operator="equal">
      <formula>FALSE</formula>
    </cfRule>
    <cfRule type="cellIs" dxfId="60" priority="82" operator="equal">
      <formula>TRUE</formula>
    </cfRule>
  </conditionalFormatting>
  <conditionalFormatting sqref="R71">
    <cfRule type="cellIs" dxfId="59" priority="69" operator="equal">
      <formula>FALSE</formula>
    </cfRule>
    <cfRule type="cellIs" dxfId="58" priority="70" operator="equal">
      <formula>TRUE</formula>
    </cfRule>
  </conditionalFormatting>
  <conditionalFormatting sqref="R70:V70">
    <cfRule type="cellIs" dxfId="57" priority="71" operator="equal">
      <formula>FALSE</formula>
    </cfRule>
    <cfRule type="cellIs" dxfId="56" priority="72" operator="equal">
      <formula>TRUE</formula>
    </cfRule>
  </conditionalFormatting>
  <conditionalFormatting sqref="S291:S292">
    <cfRule type="cellIs" dxfId="55" priority="107" operator="equal">
      <formula>FALSE</formula>
    </cfRule>
    <cfRule type="cellIs" dxfId="54" priority="108" operator="equal">
      <formula>TRUE</formula>
    </cfRule>
  </conditionalFormatting>
  <conditionalFormatting sqref="T291:T292">
    <cfRule type="cellIs" dxfId="53" priority="105" operator="equal">
      <formula>FALSE</formula>
    </cfRule>
    <cfRule type="cellIs" dxfId="52" priority="106" operator="equal">
      <formula>TRUE</formula>
    </cfRule>
  </conditionalFormatting>
  <conditionalFormatting sqref="U291:U292">
    <cfRule type="cellIs" dxfId="51" priority="103" operator="equal">
      <formula>FALSE</formula>
    </cfRule>
    <cfRule type="cellIs" dxfId="50" priority="104" operator="equal">
      <formula>TRUE</formula>
    </cfRule>
  </conditionalFormatting>
  <conditionalFormatting sqref="W41">
    <cfRule type="cellIs" dxfId="49" priority="79" operator="equal">
      <formula>FALSE</formula>
    </cfRule>
    <cfRule type="cellIs" dxfId="48" priority="80" operator="equal">
      <formula>TRUE</formula>
    </cfRule>
  </conditionalFormatting>
  <conditionalFormatting sqref="W44">
    <cfRule type="cellIs" dxfId="47" priority="47" operator="equal">
      <formula>FALSE</formula>
    </cfRule>
    <cfRule type="cellIs" dxfId="46" priority="48" operator="equal">
      <formula>TRUE</formula>
    </cfRule>
  </conditionalFormatting>
  <conditionalFormatting sqref="W46:W47">
    <cfRule type="cellIs" dxfId="45" priority="45" operator="equal">
      <formula>FALSE</formula>
    </cfRule>
    <cfRule type="cellIs" dxfId="44" priority="46" operator="equal">
      <formula>TRUE</formula>
    </cfRule>
  </conditionalFormatting>
  <conditionalFormatting sqref="W58">
    <cfRule type="cellIs" dxfId="43" priority="43" operator="equal">
      <formula>FALSE</formula>
    </cfRule>
    <cfRule type="cellIs" dxfId="42" priority="44" operator="equal">
      <formula>TRUE</formula>
    </cfRule>
  </conditionalFormatting>
  <conditionalFormatting sqref="W63">
    <cfRule type="cellIs" dxfId="41" priority="41" operator="equal">
      <formula>FALSE</formula>
    </cfRule>
    <cfRule type="cellIs" dxfId="40" priority="42" operator="equal">
      <formula>TRUE</formula>
    </cfRule>
  </conditionalFormatting>
  <conditionalFormatting sqref="W68:W71">
    <cfRule type="cellIs" dxfId="39" priority="35" operator="equal">
      <formula>FALSE</formula>
    </cfRule>
    <cfRule type="cellIs" dxfId="38" priority="36" operator="equal">
      <formula>TRUE</formula>
    </cfRule>
  </conditionalFormatting>
  <conditionalFormatting sqref="W74">
    <cfRule type="cellIs" dxfId="37" priority="33" operator="equal">
      <formula>FALSE</formula>
    </cfRule>
    <cfRule type="cellIs" dxfId="36" priority="34" operator="equal">
      <formula>TRUE</formula>
    </cfRule>
  </conditionalFormatting>
  <conditionalFormatting sqref="W90">
    <cfRule type="cellIs" dxfId="35" priority="31" operator="equal">
      <formula>FALSE</formula>
    </cfRule>
    <cfRule type="cellIs" dxfId="34" priority="32" operator="equal">
      <formula>TRUE</formula>
    </cfRule>
  </conditionalFormatting>
  <conditionalFormatting sqref="W97">
    <cfRule type="cellIs" dxfId="33" priority="29" operator="equal">
      <formula>FALSE</formula>
    </cfRule>
    <cfRule type="cellIs" dxfId="32" priority="30" operator="equal">
      <formula>TRUE</formula>
    </cfRule>
  </conditionalFormatting>
  <conditionalFormatting sqref="W103:W105">
    <cfRule type="cellIs" dxfId="31" priority="27" operator="equal">
      <formula>FALSE</formula>
    </cfRule>
    <cfRule type="cellIs" dxfId="30" priority="28" operator="equal">
      <formula>TRUE</formula>
    </cfRule>
  </conditionalFormatting>
  <conditionalFormatting sqref="W120:W121">
    <cfRule type="cellIs" dxfId="29" priority="25" operator="equal">
      <formula>FALSE</formula>
    </cfRule>
    <cfRule type="cellIs" dxfId="28" priority="26" operator="equal">
      <formula>TRUE</formula>
    </cfRule>
  </conditionalFormatting>
  <conditionalFormatting sqref="W125">
    <cfRule type="cellIs" dxfId="27" priority="23" operator="equal">
      <formula>FALSE</formula>
    </cfRule>
    <cfRule type="cellIs" dxfId="26" priority="24" operator="equal">
      <formula>TRUE</formula>
    </cfRule>
  </conditionalFormatting>
  <conditionalFormatting sqref="W129:W132">
    <cfRule type="cellIs" dxfId="25" priority="17" operator="equal">
      <formula>FALSE</formula>
    </cfRule>
    <cfRule type="cellIs" dxfId="24" priority="18" operator="equal">
      <formula>TRUE</formula>
    </cfRule>
  </conditionalFormatting>
  <conditionalFormatting sqref="W154:W155">
    <cfRule type="cellIs" dxfId="23" priority="13" operator="equal">
      <formula>FALSE</formula>
    </cfRule>
    <cfRule type="cellIs" dxfId="22" priority="14" operator="equal">
      <formula>TRUE</formula>
    </cfRule>
  </conditionalFormatting>
  <conditionalFormatting sqref="W175:W179">
    <cfRule type="cellIs" dxfId="21" priority="59" operator="equal">
      <formula>FALSE</formula>
    </cfRule>
    <cfRule type="cellIs" dxfId="20" priority="60" operator="equal">
      <formula>TRUE</formula>
    </cfRule>
  </conditionalFormatting>
  <conditionalFormatting sqref="W210:W211">
    <cfRule type="cellIs" dxfId="19" priority="9" operator="equal">
      <formula>FALSE</formula>
    </cfRule>
    <cfRule type="cellIs" dxfId="18" priority="10" operator="equal">
      <formula>TRUE</formula>
    </cfRule>
  </conditionalFormatting>
  <conditionalFormatting sqref="W213">
    <cfRule type="cellIs" dxfId="17" priority="7" operator="equal">
      <formula>FALSE</formula>
    </cfRule>
    <cfRule type="cellIs" dxfId="16" priority="8" operator="equal">
      <formula>TRUE</formula>
    </cfRule>
  </conditionalFormatting>
  <conditionalFormatting sqref="W248">
    <cfRule type="cellIs" dxfId="15" priority="5" operator="equal">
      <formula>FALSE</formula>
    </cfRule>
    <cfRule type="cellIs" dxfId="14" priority="6" operator="equal">
      <formula>TRUE</formula>
    </cfRule>
  </conditionalFormatting>
  <conditionalFormatting sqref="W267">
    <cfRule type="cellIs" dxfId="13" priority="89" operator="equal">
      <formula>FALSE</formula>
    </cfRule>
    <cfRule type="cellIs" dxfId="12" priority="90" operator="equal">
      <formula>TRUE</formula>
    </cfRule>
  </conditionalFormatting>
  <conditionalFormatting sqref="W269">
    <cfRule type="cellIs" dxfId="11" priority="3" operator="equal">
      <formula>FALSE</formula>
    </cfRule>
    <cfRule type="cellIs" dxfId="10" priority="4" operator="equal">
      <formula>TRUE</formula>
    </cfRule>
  </conditionalFormatting>
  <conditionalFormatting sqref="W281">
    <cfRule type="cellIs" dxfId="9" priority="1" operator="equal">
      <formula>FALSE</formula>
    </cfRule>
    <cfRule type="cellIs" dxfId="8" priority="2" operator="equal">
      <formula>TRUE</formula>
    </cfRule>
  </conditionalFormatting>
  <conditionalFormatting sqref="W2:X2 X3 W4:X4 W6:X14 W16:X18 X19 W20:X22 W24:X25 X26 W28:X28 W30:X31 X34 W35:X40 W42:X43 X44 W45:X45 X46:X47 W48:X51 X52 W53:X57 X58 W59:X62 X63 W64:X67 X68:X71 W72:X73 X74 W75:X89 X90 W91:X91 X97 W98:X99 X100 W101:X102 X103:X105 W106:X106 W108:X112 W114:X117 W119:X119 X120:X121 W122:X124 X125 W126:X128 X129:X132 W133:X135 W138:X138 W140:X141 X142:X143 W144:X144 X145 W146:X153 X154:X155 W156:X160 W164:X167 X168 W169:X174 W180:X188 X189:X190 W194:X194 W197:X198 X201 W202:X202 W204:X204 W208:X209 X210:X211 W212:X212 X213 W214:X214 X215 W216:X217 W222:X222 W225:X241 W244:X245 W247:X247 X248 W249:X254 W257:X260 X261:X263 W264:X264 W268:X268 X269 W270:X280 X281 W282:X284 W286:X286 W288:X288 W291:X292 W294:X298 W300:X301">
    <cfRule type="cellIs" dxfId="7" priority="95" operator="equal">
      <formula>FALSE</formula>
    </cfRule>
    <cfRule type="cellIs" dxfId="6" priority="96" operator="equal">
      <formula>TRUE</formula>
    </cfRule>
  </conditionalFormatting>
  <conditionalFormatting sqref="X41">
    <cfRule type="cellIs" dxfId="5" priority="77" operator="equal">
      <formula>FALSE</formula>
    </cfRule>
    <cfRule type="cellIs" dxfId="4" priority="78" operator="equal">
      <formula>TRUE</formula>
    </cfRule>
  </conditionalFormatting>
  <conditionalFormatting sqref="X175:X179">
    <cfRule type="cellIs" dxfId="3" priority="49" operator="equal">
      <formula>FALSE</formula>
    </cfRule>
    <cfRule type="cellIs" dxfId="2" priority="50" operator="equal">
      <formula>TRUE</formula>
    </cfRule>
  </conditionalFormatting>
  <conditionalFormatting sqref="X267">
    <cfRule type="cellIs" dxfId="1" priority="87" operator="equal">
      <formula>FALSE</formula>
    </cfRule>
    <cfRule type="cellIs" dxfId="0" priority="88" operator="equal">
      <formula>TRUE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6DBE-090B-4F3B-A1C1-67D1A3393634}">
  <dimension ref="A1:B2"/>
  <sheetViews>
    <sheetView tabSelected="1" workbookViewId="0">
      <selection activeCell="A13" sqref="A13"/>
    </sheetView>
  </sheetViews>
  <sheetFormatPr defaultRowHeight="14.25"/>
  <cols>
    <col min="1" max="1" width="35.75" bestFit="1" customWidth="1"/>
    <col min="2" max="2" width="38.125" bestFit="1" customWidth="1"/>
  </cols>
  <sheetData>
    <row r="1" spans="1:2" ht="15">
      <c r="A1" s="2" t="s">
        <v>328</v>
      </c>
      <c r="B1" t="s">
        <v>327</v>
      </c>
    </row>
    <row r="2" spans="1:2">
      <c r="A2" t="s">
        <v>329</v>
      </c>
      <c r="B2" t="str">
        <f>UPPER(Table3[[#This Row],[ACCOUNT]]) &amp; " : '"&amp; UPPER(Table3[[#This Row],[ACCOUNT]]) &amp;"' ;"</f>
        <v>ARRAY : 'ARRAY' ;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Functions</vt:lpstr>
      <vt:lpstr>Objects</vt:lpstr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Usher</dc:creator>
  <cp:lastModifiedBy>Matt Usher</cp:lastModifiedBy>
  <dcterms:created xsi:type="dcterms:W3CDTF">2025-07-28T23:12:25Z</dcterms:created>
  <dcterms:modified xsi:type="dcterms:W3CDTF">2025-09-14T03:57:48Z</dcterms:modified>
</cp:coreProperties>
</file>